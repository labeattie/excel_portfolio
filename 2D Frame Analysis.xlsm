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s-b\Documents\excel portfolio\frame analysis\"/>
    </mc:Choice>
  </mc:AlternateContent>
  <bookViews>
    <workbookView xWindow="0" yWindow="0" windowWidth="14970" windowHeight="6360" activeTab="2"/>
  </bookViews>
  <sheets>
    <sheet name="Geometry" sheetId="1" r:id="rId1"/>
    <sheet name="Loading" sheetId="4" r:id="rId2"/>
    <sheet name="Results" sheetId="5" r:id="rId3"/>
    <sheet name="transformation" sheetId="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4" l="1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K43" i="2" l="1" a="1"/>
  <c r="K48" i="2" s="1"/>
  <c r="I47" i="2"/>
  <c r="I46" i="2"/>
  <c r="I44" i="2"/>
  <c r="I43" i="2"/>
  <c r="K47" i="2" l="1"/>
  <c r="K46" i="2"/>
  <c r="K45" i="2"/>
  <c r="K44" i="2"/>
  <c r="K43" i="2"/>
  <c r="D57" i="1" l="1"/>
  <c r="P35" i="2" l="1" a="1"/>
  <c r="S35" i="2" s="1"/>
  <c r="R39" i="2" l="1"/>
  <c r="R35" i="2"/>
  <c r="Q37" i="2"/>
  <c r="P35" i="2"/>
  <c r="T38" i="2"/>
  <c r="P37" i="2"/>
  <c r="T40" i="2"/>
  <c r="R37" i="2"/>
  <c r="Q39" i="2"/>
  <c r="Q35" i="2"/>
  <c r="P39" i="2"/>
  <c r="U40" i="2"/>
  <c r="U38" i="2"/>
  <c r="U36" i="2"/>
  <c r="T36" i="2"/>
  <c r="S40" i="2"/>
  <c r="S38" i="2"/>
  <c r="S36" i="2"/>
  <c r="R40" i="2"/>
  <c r="R38" i="2"/>
  <c r="R36" i="2"/>
  <c r="Q40" i="2"/>
  <c r="Q38" i="2"/>
  <c r="Q36" i="2"/>
  <c r="P40" i="2"/>
  <c r="P38" i="2"/>
  <c r="P36" i="2"/>
  <c r="U39" i="2"/>
  <c r="U37" i="2"/>
  <c r="U35" i="2"/>
  <c r="T39" i="2"/>
  <c r="T37" i="2"/>
  <c r="T35" i="2"/>
  <c r="S39" i="2"/>
  <c r="S37" i="2"/>
  <c r="G35" i="2" a="1"/>
  <c r="G35" i="2" s="1"/>
  <c r="P23" i="2" a="1"/>
  <c r="P23" i="2" s="1"/>
  <c r="J27" i="2"/>
  <c r="K27" i="2"/>
  <c r="K26" i="2"/>
  <c r="G24" i="2"/>
  <c r="H24" i="2"/>
  <c r="H23" i="2"/>
  <c r="G23" i="2"/>
  <c r="J26" i="2" s="1"/>
  <c r="J28" i="2"/>
  <c r="K28" i="2"/>
  <c r="G28" i="2"/>
  <c r="G27" i="2"/>
  <c r="H26" i="2"/>
  <c r="I28" i="2"/>
  <c r="J25" i="2"/>
  <c r="L26" i="2" s="1"/>
  <c r="L28" i="2"/>
  <c r="C34" i="2"/>
  <c r="C33" i="2"/>
  <c r="Q13" i="2"/>
  <c r="R13" i="2"/>
  <c r="S13" i="2"/>
  <c r="T13" i="2"/>
  <c r="V13" i="2"/>
  <c r="Q14" i="2"/>
  <c r="S14" i="2"/>
  <c r="T14" i="2"/>
  <c r="V14" i="2"/>
  <c r="Q15" i="2"/>
  <c r="T15" i="2"/>
  <c r="U15" i="2"/>
  <c r="Q16" i="2"/>
  <c r="Q17" i="2"/>
  <c r="S17" i="2"/>
  <c r="V17" i="2"/>
  <c r="R12" i="2"/>
  <c r="S12" i="2"/>
  <c r="T12" i="2"/>
  <c r="U12" i="2"/>
  <c r="V12" i="2"/>
  <c r="Q12" i="2"/>
  <c r="N14" i="2"/>
  <c r="N6" i="2"/>
  <c r="G14" i="2"/>
  <c r="I13" i="2"/>
  <c r="I14" i="2"/>
  <c r="H13" i="2"/>
  <c r="G12" i="2"/>
  <c r="L14" i="2"/>
  <c r="I17" i="2" s="1"/>
  <c r="L17" i="2"/>
  <c r="L13" i="2"/>
  <c r="K16" i="2"/>
  <c r="U16" i="2" s="1"/>
  <c r="J12" i="2"/>
  <c r="J15" i="2"/>
  <c r="G17" i="2"/>
  <c r="K15" i="2"/>
  <c r="J16" i="2" s="1"/>
  <c r="T16" i="2" s="1"/>
  <c r="L40" i="2" l="1"/>
  <c r="L36" i="2"/>
  <c r="K38" i="2"/>
  <c r="J40" i="2"/>
  <c r="J36" i="2"/>
  <c r="I40" i="2"/>
  <c r="I38" i="2"/>
  <c r="I36" i="2"/>
  <c r="H40" i="2"/>
  <c r="H38" i="2"/>
  <c r="H36" i="2"/>
  <c r="G40" i="2"/>
  <c r="G38" i="2"/>
  <c r="G36" i="2"/>
  <c r="I35" i="2"/>
  <c r="L38" i="2"/>
  <c r="K40" i="2"/>
  <c r="K36" i="2"/>
  <c r="J38" i="2"/>
  <c r="L39" i="2"/>
  <c r="L37" i="2"/>
  <c r="L35" i="2"/>
  <c r="K39" i="2"/>
  <c r="K37" i="2"/>
  <c r="K35" i="2"/>
  <c r="J39" i="2"/>
  <c r="J37" i="2"/>
  <c r="J35" i="2"/>
  <c r="I39" i="2"/>
  <c r="I37" i="2"/>
  <c r="H39" i="2"/>
  <c r="H37" i="2"/>
  <c r="H35" i="2"/>
  <c r="G39" i="2"/>
  <c r="G37" i="2"/>
  <c r="P27" i="2"/>
  <c r="U24" i="2"/>
  <c r="T28" i="2"/>
  <c r="T26" i="2"/>
  <c r="T24" i="2"/>
  <c r="U28" i="2"/>
  <c r="U26" i="2"/>
  <c r="S28" i="2"/>
  <c r="S26" i="2"/>
  <c r="S24" i="2"/>
  <c r="R24" i="2"/>
  <c r="R26" i="2"/>
  <c r="Q28" i="2"/>
  <c r="Q26" i="2"/>
  <c r="Q24" i="2"/>
  <c r="R28" i="2"/>
  <c r="P28" i="2"/>
  <c r="P26" i="2"/>
  <c r="P24" i="2"/>
  <c r="P25" i="2"/>
  <c r="U27" i="2"/>
  <c r="U25" i="2"/>
  <c r="U23" i="2"/>
  <c r="T23" i="2"/>
  <c r="T25" i="2"/>
  <c r="S27" i="2"/>
  <c r="S25" i="2"/>
  <c r="S23" i="2"/>
  <c r="T27" i="2"/>
  <c r="R27" i="2"/>
  <c r="R25" i="2"/>
  <c r="R23" i="2"/>
  <c r="Q27" i="2"/>
  <c r="Q25" i="2"/>
  <c r="Q23" i="2"/>
  <c r="H28" i="2"/>
  <c r="K25" i="2"/>
  <c r="H27" i="2"/>
  <c r="G26" i="2"/>
  <c r="I26" i="2"/>
  <c r="K13" i="2"/>
  <c r="H17" i="2"/>
  <c r="R17" i="2" s="1"/>
  <c r="K14" i="2"/>
  <c r="U14" i="2" s="1"/>
  <c r="H14" i="2"/>
  <c r="R14" i="2" s="1"/>
  <c r="G15" i="2"/>
  <c r="J14" i="2"/>
  <c r="G13" i="2"/>
  <c r="L6" i="2"/>
  <c r="I9" i="2" s="1"/>
  <c r="S9" i="2" s="1"/>
  <c r="H16" i="2" l="1"/>
  <c r="R16" i="2" s="1"/>
  <c r="U13" i="2"/>
  <c r="L27" i="2"/>
  <c r="I27" i="2"/>
  <c r="L15" i="2"/>
  <c r="I15" i="2"/>
  <c r="S15" i="2" s="1"/>
  <c r="L16" i="2"/>
  <c r="I16" i="2"/>
  <c r="S16" i="2" s="1"/>
  <c r="J13" i="2"/>
  <c r="H15" i="2" s="1"/>
  <c r="R15" i="2" s="1"/>
  <c r="G16" i="2"/>
  <c r="G4" i="2"/>
  <c r="J7" i="2" s="1"/>
  <c r="T7" i="2" s="1"/>
  <c r="H4" i="2"/>
  <c r="K7" i="2" s="1"/>
  <c r="J8" i="2" s="1"/>
  <c r="T8" i="2" s="1"/>
  <c r="I4" i="2"/>
  <c r="J6" i="2" s="1"/>
  <c r="T6" i="2" s="1"/>
  <c r="I5" i="2"/>
  <c r="H6" i="2" s="1"/>
  <c r="R6" i="2" s="1"/>
  <c r="I6" i="2"/>
  <c r="L9" i="2" s="1"/>
  <c r="V9" i="2" s="1"/>
  <c r="H5" i="2"/>
  <c r="K5" i="2" s="1"/>
  <c r="H8" i="2" s="1"/>
  <c r="R8" i="2" s="1"/>
  <c r="V6" i="2"/>
  <c r="K17" i="2" l="1"/>
  <c r="U17" i="2" s="1"/>
  <c r="V16" i="2"/>
  <c r="J17" i="2"/>
  <c r="T17" i="2" s="1"/>
  <c r="V15" i="2"/>
  <c r="J4" i="2"/>
  <c r="G7" i="2" s="1"/>
  <c r="Q7" i="2" s="1"/>
  <c r="G6" i="2"/>
  <c r="Q6" i="2" s="1"/>
  <c r="Q4" i="2"/>
  <c r="R4" i="2"/>
  <c r="G5" i="2"/>
  <c r="Q5" i="2" s="1"/>
  <c r="K4" i="2"/>
  <c r="U4" i="2" s="1"/>
  <c r="K8" i="2"/>
  <c r="U8" i="2" s="1"/>
  <c r="U5" i="2"/>
  <c r="S6" i="2"/>
  <c r="L4" i="2"/>
  <c r="S4" i="2"/>
  <c r="L5" i="2"/>
  <c r="S5" i="2"/>
  <c r="R5" i="2"/>
  <c r="U7" i="2"/>
  <c r="J5" i="2"/>
  <c r="G8" i="2"/>
  <c r="Q8" i="2" s="1"/>
  <c r="I7" i="2"/>
  <c r="S7" i="2" s="1"/>
  <c r="L7" i="2"/>
  <c r="T4" i="2" l="1"/>
  <c r="K6" i="2"/>
  <c r="V5" i="2"/>
  <c r="H9" i="2"/>
  <c r="R9" i="2" s="1"/>
  <c r="G9" i="2"/>
  <c r="Q9" i="2" s="1"/>
  <c r="V4" i="2"/>
  <c r="J9" i="2"/>
  <c r="T9" i="2" s="1"/>
  <c r="V7" i="2"/>
  <c r="H7" i="2"/>
  <c r="R7" i="2" s="1"/>
  <c r="T5" i="2"/>
  <c r="U6" i="2" l="1"/>
  <c r="I8" i="2"/>
  <c r="S8" i="2" s="1"/>
  <c r="L8" i="2"/>
  <c r="K9" i="2" l="1"/>
  <c r="U9" i="2" s="1"/>
  <c r="V8" i="2"/>
  <c r="H28" i="1" l="1"/>
  <c r="I28" i="1"/>
  <c r="J28" i="1"/>
  <c r="K28" i="1"/>
  <c r="H29" i="1"/>
  <c r="I29" i="1"/>
  <c r="J29" i="1"/>
  <c r="K29" i="1"/>
  <c r="L29" i="1"/>
  <c r="M29" i="1"/>
  <c r="H30" i="1"/>
  <c r="I30" i="1"/>
  <c r="J30" i="1"/>
  <c r="K30" i="1"/>
  <c r="L30" i="1"/>
  <c r="M30" i="1"/>
  <c r="H31" i="1"/>
  <c r="I31" i="1"/>
  <c r="J31" i="1"/>
  <c r="K31" i="1"/>
  <c r="L31" i="1"/>
  <c r="M31" i="1"/>
  <c r="H32" i="1"/>
  <c r="I32" i="1"/>
  <c r="J32" i="1"/>
  <c r="K32" i="1"/>
  <c r="L32" i="1"/>
  <c r="M32" i="1"/>
  <c r="H33" i="1"/>
  <c r="I33" i="1"/>
  <c r="J33" i="1"/>
  <c r="K33" i="1"/>
  <c r="L33" i="1"/>
  <c r="M33" i="1"/>
  <c r="H34" i="1"/>
  <c r="I34" i="1"/>
  <c r="J34" i="1"/>
  <c r="K34" i="1"/>
  <c r="L34" i="1"/>
  <c r="M34" i="1"/>
  <c r="H35" i="1"/>
  <c r="I35" i="1"/>
  <c r="J35" i="1"/>
  <c r="K35" i="1"/>
  <c r="L35" i="1"/>
  <c r="M35" i="1"/>
  <c r="H36" i="1"/>
  <c r="I36" i="1"/>
  <c r="J36" i="1"/>
  <c r="K36" i="1"/>
  <c r="L36" i="1"/>
  <c r="M36" i="1"/>
  <c r="H37" i="1"/>
  <c r="I37" i="1"/>
  <c r="J37" i="1"/>
  <c r="K37" i="1"/>
  <c r="L37" i="1"/>
  <c r="M37" i="1"/>
  <c r="H38" i="1"/>
  <c r="I38" i="1"/>
  <c r="J38" i="1"/>
  <c r="K38" i="1"/>
  <c r="L38" i="1"/>
  <c r="M38" i="1"/>
  <c r="H39" i="1"/>
  <c r="I39" i="1"/>
  <c r="J39" i="1"/>
  <c r="K39" i="1"/>
  <c r="L39" i="1"/>
  <c r="M39" i="1"/>
  <c r="H40" i="1"/>
  <c r="I40" i="1"/>
  <c r="J40" i="1"/>
  <c r="K40" i="1"/>
  <c r="L40" i="1"/>
  <c r="M40" i="1"/>
  <c r="H41" i="1"/>
  <c r="I41" i="1"/>
  <c r="J41" i="1"/>
  <c r="K41" i="1"/>
  <c r="L41" i="1"/>
  <c r="M41" i="1"/>
  <c r="H42" i="1"/>
  <c r="I42" i="1"/>
  <c r="J42" i="1"/>
  <c r="K42" i="1"/>
  <c r="L42" i="1"/>
  <c r="M42" i="1"/>
  <c r="H43" i="1"/>
  <c r="I43" i="1"/>
  <c r="J43" i="1"/>
  <c r="K43" i="1"/>
  <c r="L43" i="1"/>
  <c r="M43" i="1"/>
  <c r="H44" i="1"/>
  <c r="I44" i="1"/>
  <c r="J44" i="1"/>
  <c r="K44" i="1"/>
  <c r="L44" i="1"/>
  <c r="M44" i="1"/>
  <c r="H45" i="1"/>
  <c r="I45" i="1"/>
  <c r="J45" i="1"/>
  <c r="K45" i="1"/>
  <c r="L45" i="1"/>
  <c r="M45" i="1"/>
  <c r="H46" i="1"/>
  <c r="I46" i="1"/>
  <c r="J46" i="1"/>
  <c r="K46" i="1"/>
  <c r="L46" i="1"/>
  <c r="M46" i="1"/>
  <c r="K27" i="1"/>
  <c r="J27" i="1"/>
  <c r="I27" i="1"/>
  <c r="H27" i="1"/>
  <c r="K59" i="1"/>
  <c r="I59" i="1"/>
  <c r="F62" i="1" s="1"/>
  <c r="F59" i="1"/>
  <c r="I62" i="1" s="1"/>
  <c r="F58" i="1"/>
  <c r="E58" i="1"/>
  <c r="H58" i="1" s="1"/>
  <c r="F57" i="1"/>
  <c r="D59" i="1" s="1"/>
  <c r="E57" i="1"/>
  <c r="G60" i="1"/>
  <c r="D67" i="1" l="1"/>
  <c r="H60" i="1"/>
  <c r="H68" i="1" s="1"/>
  <c r="D58" i="1"/>
  <c r="D66" i="1" s="1"/>
  <c r="L28" i="1"/>
  <c r="F66" i="1"/>
  <c r="H66" i="1"/>
  <c r="G68" i="1"/>
  <c r="F70" i="1"/>
  <c r="F65" i="1"/>
  <c r="I67" i="1"/>
  <c r="I70" i="1"/>
  <c r="F67" i="1"/>
  <c r="E66" i="1"/>
  <c r="E65" i="1"/>
  <c r="D65" i="1"/>
  <c r="L27" i="1"/>
  <c r="E61" i="1"/>
  <c r="E69" i="1" s="1"/>
  <c r="E59" i="1"/>
  <c r="E67" i="1" s="1"/>
  <c r="G59" i="1"/>
  <c r="G67" i="1" s="1"/>
  <c r="I57" i="1"/>
  <c r="I65" i="1" s="1"/>
  <c r="I58" i="1"/>
  <c r="I66" i="1" s="1"/>
  <c r="G57" i="1"/>
  <c r="G65" i="1" s="1"/>
  <c r="H57" i="1"/>
  <c r="H65" i="1" s="1"/>
  <c r="H61" i="1"/>
  <c r="H69" i="1" s="1"/>
  <c r="M27" i="1" l="1"/>
  <c r="J4" i="4"/>
  <c r="M28" i="1"/>
  <c r="J5" i="4"/>
  <c r="G61" i="1"/>
  <c r="G69" i="1" s="1"/>
  <c r="D60" i="1"/>
  <c r="D68" i="1" s="1"/>
  <c r="D62" i="1"/>
  <c r="D70" i="1" s="1"/>
  <c r="I60" i="1"/>
  <c r="I68" i="1" s="1"/>
  <c r="F60" i="1"/>
  <c r="F68" i="1" s="1"/>
  <c r="E62" i="1"/>
  <c r="E70" i="1" s="1"/>
  <c r="H59" i="1"/>
  <c r="H67" i="1" s="1"/>
  <c r="G58" i="1"/>
  <c r="G66" i="1" s="1"/>
  <c r="D61" i="1"/>
  <c r="D69" i="1" s="1"/>
  <c r="E60" i="1" l="1"/>
  <c r="E68" i="1" s="1"/>
  <c r="I61" i="1"/>
  <c r="I69" i="1" s="1"/>
  <c r="F61" i="1"/>
  <c r="F69" i="1" s="1"/>
  <c r="G62" i="1"/>
  <c r="G70" i="1" s="1"/>
  <c r="H62" i="1" l="1"/>
  <c r="H70" i="1" s="1"/>
</calcChain>
</file>

<file path=xl/sharedStrings.xml><?xml version="1.0" encoding="utf-8"?>
<sst xmlns="http://schemas.openxmlformats.org/spreadsheetml/2006/main" count="207" uniqueCount="73">
  <si>
    <t>Joint Coordinates</t>
  </si>
  <si>
    <t>Node No.</t>
  </si>
  <si>
    <t>x</t>
  </si>
  <si>
    <t>y</t>
  </si>
  <si>
    <t>Boundary Conditions</t>
  </si>
  <si>
    <t>x translation</t>
  </si>
  <si>
    <t>y translation</t>
  </si>
  <si>
    <t>rotation</t>
  </si>
  <si>
    <t>Member Connectivity</t>
  </si>
  <si>
    <t>Member No.</t>
  </si>
  <si>
    <t>Start Node</t>
  </si>
  <si>
    <t>End Node</t>
  </si>
  <si>
    <t>Member Properties</t>
  </si>
  <si>
    <t>Area</t>
  </si>
  <si>
    <t>Inertia</t>
  </si>
  <si>
    <t>Modulus</t>
  </si>
  <si>
    <t>L</t>
  </si>
  <si>
    <t>θ</t>
  </si>
  <si>
    <t>A</t>
  </si>
  <si>
    <t>E</t>
  </si>
  <si>
    <t>I</t>
  </si>
  <si>
    <t>u1</t>
  </si>
  <si>
    <t>v1</t>
  </si>
  <si>
    <t>m1</t>
  </si>
  <si>
    <t>u2</t>
  </si>
  <si>
    <t>v2</t>
  </si>
  <si>
    <t>m2</t>
  </si>
  <si>
    <t xml:space="preserve">[k] = </t>
  </si>
  <si>
    <t>*</t>
  </si>
  <si>
    <t>=</t>
  </si>
  <si>
    <t>Local Stiffness Matric Calc</t>
  </si>
  <si>
    <t>x1</t>
  </si>
  <si>
    <t>y1</t>
  </si>
  <si>
    <t>x2</t>
  </si>
  <si>
    <t>y2</t>
  </si>
  <si>
    <t>Moment</t>
  </si>
  <si>
    <t>https://nptel.ac.in/content/storage2/courses/105105109/pdf/m4l30.pdf</t>
  </si>
  <si>
    <t xml:space="preserve">[k'] = </t>
  </si>
  <si>
    <t>l</t>
  </si>
  <si>
    <t>m</t>
  </si>
  <si>
    <t xml:space="preserve">[T] = </t>
  </si>
  <si>
    <r>
      <t>[T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] = </t>
    </r>
  </si>
  <si>
    <t>Node Number</t>
  </si>
  <si>
    <t>Load Magnitude</t>
  </si>
  <si>
    <t>Direction</t>
  </si>
  <si>
    <t>Member Number</t>
  </si>
  <si>
    <t>Location</t>
  </si>
  <si>
    <t>Start Magnitude</t>
  </si>
  <si>
    <t>End Magnitude</t>
  </si>
  <si>
    <t>Start Location</t>
  </si>
  <si>
    <t>End Location</t>
  </si>
  <si>
    <t>Fixed</t>
  </si>
  <si>
    <t>Concentrated Member Loads (local coordinates only)</t>
  </si>
  <si>
    <t>Joint Loads (global coordinates only)</t>
  </si>
  <si>
    <t>Type/ Direction</t>
  </si>
  <si>
    <t>Joint Displacements</t>
  </si>
  <si>
    <t>θ (radians)</t>
  </si>
  <si>
    <t>Support Reactions</t>
  </si>
  <si>
    <t>Horizontal Force</t>
  </si>
  <si>
    <t>Vertical Force</t>
  </si>
  <si>
    <t>Member Forces</t>
  </si>
  <si>
    <t>Axial Force</t>
  </si>
  <si>
    <t>Shear Force</t>
  </si>
  <si>
    <t>Bending Moment</t>
  </si>
  <si>
    <t>Begin Node</t>
  </si>
  <si>
    <t>Location/ Length</t>
  </si>
  <si>
    <t>Distributed Loads (vertical with local coordinates only)</t>
  </si>
  <si>
    <t xml:space="preserve">    same as start magnitude.</t>
  </si>
  <si>
    <t xml:space="preserve">*if start location is left blank, load will be assumed to start </t>
  </si>
  <si>
    <t xml:space="preserve">    at start of member. If end location is left blank, load will </t>
  </si>
  <si>
    <t xml:space="preserve">    be assumed to end at end of member.</t>
  </si>
  <si>
    <t xml:space="preserve">*if end magnitude is left blank, it will be assumed to be the </t>
  </si>
  <si>
    <t>Perpendicular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</si>
</sst>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"/>
    <numFmt numFmtId="165" formatCode="#,##0.0"/>
    <numFmt numFmtId="166" formatCode="#,##0.000"/>
    <numFmt numFmtId="167" formatCode="#,##0.00000"/>
    <numFmt numFmtId="168" formatCode="0.000E+0"/>
    <numFmt numFmtId="169" formatCode="#,##0.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5" fillId="2" borderId="7" applyNumberFormat="0" applyAlignment="0" applyProtection="0"/>
    <xf numFmtId="0" fontId="6" fillId="3" borderId="7" applyNumberFormat="0" applyAlignment="0" applyProtection="0"/>
  </cellStyleXfs>
  <cellXfs count="8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6" fillId="3" borderId="7" xfId="2" applyAlignment="1">
      <alignment horizontal="center"/>
    </xf>
    <xf numFmtId="11" fontId="6" fillId="3" borderId="7" xfId="2" applyNumberFormat="1" applyAlignment="1">
      <alignment horizontal="center"/>
    </xf>
    <xf numFmtId="11" fontId="6" fillId="3" borderId="8" xfId="2" applyNumberFormat="1" applyBorder="1" applyAlignment="1">
      <alignment horizontal="center"/>
    </xf>
    <xf numFmtId="11" fontId="6" fillId="3" borderId="9" xfId="2" applyNumberFormat="1" applyBorder="1" applyAlignment="1">
      <alignment horizontal="center"/>
    </xf>
    <xf numFmtId="11" fontId="6" fillId="3" borderId="10" xfId="2" applyNumberFormat="1" applyBorder="1" applyAlignment="1">
      <alignment horizontal="center"/>
    </xf>
    <xf numFmtId="11" fontId="6" fillId="3" borderId="11" xfId="2" applyNumberFormat="1" applyBorder="1" applyAlignment="1">
      <alignment horizontal="center"/>
    </xf>
    <xf numFmtId="11" fontId="6" fillId="3" borderId="7" xfId="2" applyNumberFormat="1" applyBorder="1" applyAlignment="1">
      <alignment horizontal="center"/>
    </xf>
    <xf numFmtId="11" fontId="6" fillId="3" borderId="12" xfId="2" applyNumberFormat="1" applyBorder="1" applyAlignment="1">
      <alignment horizontal="center"/>
    </xf>
    <xf numFmtId="11" fontId="6" fillId="3" borderId="13" xfId="2" applyNumberFormat="1" applyBorder="1" applyAlignment="1">
      <alignment horizontal="center"/>
    </xf>
    <xf numFmtId="11" fontId="6" fillId="3" borderId="14" xfId="2" applyNumberFormat="1" applyBorder="1" applyAlignment="1">
      <alignment horizontal="center"/>
    </xf>
    <xf numFmtId="11" fontId="6" fillId="3" borderId="15" xfId="2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7" xfId="1" applyBorder="1" applyAlignment="1">
      <alignment horizontal="center"/>
    </xf>
    <xf numFmtId="0" fontId="5" fillId="2" borderId="12" xfId="1" applyBorder="1" applyAlignment="1">
      <alignment horizontal="center"/>
    </xf>
    <xf numFmtId="0" fontId="0" fillId="0" borderId="6" xfId="0" applyBorder="1" applyAlignment="1">
      <alignment horizontal="center"/>
    </xf>
    <xf numFmtId="0" fontId="5" fillId="2" borderId="14" xfId="1" applyBorder="1" applyAlignment="1">
      <alignment horizontal="center"/>
    </xf>
    <xf numFmtId="0" fontId="5" fillId="2" borderId="15" xfId="1" applyBorder="1" applyAlignment="1">
      <alignment horizontal="center"/>
    </xf>
    <xf numFmtId="0" fontId="5" fillId="2" borderId="11" xfId="1" applyBorder="1" applyAlignment="1">
      <alignment horizontal="center"/>
    </xf>
    <xf numFmtId="0" fontId="5" fillId="2" borderId="13" xfId="1" applyBorder="1" applyAlignment="1">
      <alignment horizontal="center"/>
    </xf>
    <xf numFmtId="0" fontId="6" fillId="3" borderId="16" xfId="2" applyBorder="1" applyAlignment="1">
      <alignment horizontal="center"/>
    </xf>
    <xf numFmtId="11" fontId="5" fillId="2" borderId="7" xfId="1" applyNumberFormat="1" applyBorder="1" applyAlignment="1">
      <alignment horizontal="center"/>
    </xf>
    <xf numFmtId="11" fontId="5" fillId="2" borderId="12" xfId="1" applyNumberFormat="1" applyBorder="1" applyAlignment="1">
      <alignment horizontal="center"/>
    </xf>
    <xf numFmtId="0" fontId="0" fillId="0" borderId="0" xfId="0" applyAlignment="1">
      <alignment horizontal="left"/>
    </xf>
    <xf numFmtId="0" fontId="5" fillId="2" borderId="7" xfId="1" applyAlignment="1">
      <alignment horizontal="center"/>
    </xf>
    <xf numFmtId="0" fontId="0" fillId="0" borderId="0" xfId="0" quotePrefix="1" applyAlignment="1">
      <alignment horizontal="center"/>
    </xf>
    <xf numFmtId="0" fontId="5" fillId="2" borderId="7" xfId="1" applyNumberFormat="1" applyAlignment="1">
      <alignment horizontal="center"/>
    </xf>
    <xf numFmtId="2" fontId="6" fillId="3" borderId="7" xfId="2" applyNumberFormat="1" applyAlignment="1">
      <alignment horizontal="center"/>
    </xf>
    <xf numFmtId="3" fontId="6" fillId="3" borderId="7" xfId="2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2" borderId="17" xfId="1" applyBorder="1" applyAlignment="1">
      <alignment horizontal="center"/>
    </xf>
    <xf numFmtId="0" fontId="5" fillId="2" borderId="18" xfId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6" fillId="3" borderId="7" xfId="2" applyNumberForma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/>
    </xf>
    <xf numFmtId="0" fontId="9" fillId="0" borderId="11" xfId="1" applyFont="1" applyFill="1" applyBorder="1" applyAlignment="1">
      <alignment horizontal="center" vertical="center" wrapText="1"/>
    </xf>
    <xf numFmtId="0" fontId="9" fillId="0" borderId="7" xfId="1" applyFont="1" applyFill="1" applyBorder="1" applyAlignment="1">
      <alignment horizontal="center" vertical="center" wrapText="1"/>
    </xf>
    <xf numFmtId="0" fontId="9" fillId="0" borderId="12" xfId="1" applyFont="1" applyFill="1" applyBorder="1" applyAlignment="1">
      <alignment horizontal="center" vertical="center" wrapText="1"/>
    </xf>
    <xf numFmtId="0" fontId="9" fillId="0" borderId="17" xfId="1" applyFont="1" applyFill="1" applyBorder="1" applyAlignment="1">
      <alignment horizontal="center" vertical="center" wrapText="1"/>
    </xf>
    <xf numFmtId="0" fontId="6" fillId="3" borderId="7" xfId="2" applyBorder="1" applyAlignment="1">
      <alignment horizontal="center"/>
    </xf>
    <xf numFmtId="0" fontId="6" fillId="3" borderId="12" xfId="2" applyBorder="1" applyAlignment="1">
      <alignment horizontal="center"/>
    </xf>
    <xf numFmtId="0" fontId="6" fillId="3" borderId="14" xfId="2" applyBorder="1" applyAlignment="1">
      <alignment horizontal="center"/>
    </xf>
    <xf numFmtId="0" fontId="6" fillId="3" borderId="15" xfId="2" applyBorder="1" applyAlignment="1">
      <alignment horizontal="center"/>
    </xf>
    <xf numFmtId="0" fontId="9" fillId="0" borderId="21" xfId="1" applyFont="1" applyFill="1" applyBorder="1" applyAlignment="1">
      <alignment vertical="center" wrapText="1"/>
    </xf>
    <xf numFmtId="0" fontId="9" fillId="0" borderId="0" xfId="0" applyFont="1" applyBorder="1" applyAlignment="1"/>
    <xf numFmtId="0" fontId="3" fillId="0" borderId="0" xfId="0" applyFont="1" applyAlignment="1">
      <alignment horizontal="left"/>
    </xf>
    <xf numFmtId="4" fontId="6" fillId="3" borderId="7" xfId="2" applyNumberFormat="1" applyBorder="1" applyAlignment="1">
      <alignment horizontal="center"/>
    </xf>
    <xf numFmtId="165" fontId="6" fillId="3" borderId="7" xfId="2" applyNumberFormat="1" applyBorder="1" applyAlignment="1">
      <alignment horizontal="center"/>
    </xf>
    <xf numFmtId="4" fontId="6" fillId="3" borderId="12" xfId="2" applyNumberFormat="1" applyBorder="1" applyAlignment="1">
      <alignment horizontal="center"/>
    </xf>
    <xf numFmtId="165" fontId="6" fillId="3" borderId="12" xfId="2" applyNumberFormat="1" applyBorder="1" applyAlignment="1">
      <alignment horizontal="center"/>
    </xf>
    <xf numFmtId="166" fontId="6" fillId="3" borderId="7" xfId="2" applyNumberFormat="1" applyBorder="1" applyAlignment="1">
      <alignment horizontal="center"/>
    </xf>
    <xf numFmtId="166" fontId="6" fillId="3" borderId="12" xfId="2" applyNumberFormat="1" applyBorder="1" applyAlignment="1">
      <alignment horizontal="center"/>
    </xf>
    <xf numFmtId="167" fontId="6" fillId="3" borderId="7" xfId="2" applyNumberFormat="1" applyBorder="1" applyAlignment="1">
      <alignment horizontal="center"/>
    </xf>
    <xf numFmtId="168" fontId="6" fillId="3" borderId="7" xfId="2" applyNumberFormat="1" applyBorder="1" applyAlignment="1">
      <alignment horizontal="center"/>
    </xf>
    <xf numFmtId="169" fontId="6" fillId="3" borderId="12" xfId="2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9" fillId="0" borderId="19" xfId="1" applyFont="1" applyFill="1" applyBorder="1" applyAlignment="1">
      <alignment horizontal="center" vertical="center" wrapText="1"/>
    </xf>
    <xf numFmtId="0" fontId="9" fillId="0" borderId="20" xfId="1" applyFont="1" applyFill="1" applyBorder="1" applyAlignment="1">
      <alignment horizontal="center" vertical="center" wrapText="1"/>
    </xf>
    <xf numFmtId="0" fontId="9" fillId="0" borderId="19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1" applyFont="1" applyFill="1" applyBorder="1" applyAlignment="1">
      <alignment horizontal="center" vertical="center" wrapText="1"/>
    </xf>
    <xf numFmtId="0" fontId="9" fillId="0" borderId="23" xfId="1" applyFont="1" applyFill="1" applyBorder="1" applyAlignment="1">
      <alignment horizontal="center" vertical="center" wrapText="1"/>
    </xf>
    <xf numFmtId="0" fontId="9" fillId="0" borderId="17" xfId="1" applyFont="1" applyFill="1" applyBorder="1" applyAlignment="1">
      <alignment horizontal="center" vertical="center" wrapText="1"/>
    </xf>
    <xf numFmtId="0" fontId="9" fillId="0" borderId="16" xfId="1" applyFont="1" applyFill="1" applyBorder="1" applyAlignment="1">
      <alignment horizontal="center" vertical="center" wrapText="1"/>
    </xf>
    <xf numFmtId="0" fontId="9" fillId="0" borderId="24" xfId="1" applyFont="1" applyFill="1" applyBorder="1" applyAlignment="1">
      <alignment horizontal="center"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134470</xdr:colOff>
      <xdr:row>8</xdr:row>
      <xdr:rowOff>179293</xdr:rowOff>
    </xdr:from>
    <xdr:to>
      <xdr:col>3</xdr:col>
      <xdr:colOff>677579</xdr:colOff>
      <xdr:row>19</xdr:row>
      <xdr:rowOff>56028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470" y="1703293"/>
          <a:ext cx="3030815" cy="197223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33617</xdr:colOff>
      <xdr:row>20</xdr:row>
      <xdr:rowOff>145678</xdr:rowOff>
    </xdr:from>
    <xdr:to>
      <xdr:col>3</xdr:col>
      <xdr:colOff>761451</xdr:colOff>
      <xdr:row>31</xdr:row>
      <xdr:rowOff>78441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17" y="3955678"/>
          <a:ext cx="3215540" cy="202826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448235</xdr:colOff>
      <xdr:row>35</xdr:row>
      <xdr:rowOff>11206</xdr:rowOff>
    </xdr:from>
    <xdr:to>
      <xdr:col>2</xdr:col>
      <xdr:colOff>275478</xdr:colOff>
      <xdr:row>40</xdr:row>
      <xdr:rowOff>39658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6678706"/>
          <a:ext cx="1485714" cy="9809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71"/>
  <sheetViews>
    <sheetView showGridLines="0" zoomScale="85" zoomScaleNormal="85" workbookViewId="0">
      <selection activeCell="C29" sqref="C29"/>
    </sheetView>
  </sheetViews>
  <sheetFormatPr defaultColWidth="0" defaultRowHeight="15" zeroHeight="1" x14ac:dyDescent="0.25"/>
  <cols>
    <col min="1" max="1" width="3.140625" style="1" customWidth="1"/>
    <col min="2" max="13" width="12.7109375" style="1" customWidth="1"/>
    <col min="14" max="14" width="3.140625" style="1" customWidth="1"/>
    <col min="15" max="27" width="12.7109375" style="1" hidden="1" customWidth="1"/>
    <col min="28" max="16384" width="9.140625" style="1" hidden="1"/>
  </cols>
  <sheetData>
    <row r="1" spans="2:10" ht="15.75" thickBot="1" x14ac:dyDescent="0.3"/>
    <row r="2" spans="2:10" x14ac:dyDescent="0.25">
      <c r="B2" s="65" t="s">
        <v>0</v>
      </c>
      <c r="C2" s="66"/>
      <c r="D2" s="67"/>
      <c r="E2" s="65" t="s">
        <v>4</v>
      </c>
      <c r="F2" s="66"/>
      <c r="G2" s="67"/>
    </row>
    <row r="3" spans="2:10" x14ac:dyDescent="0.25">
      <c r="B3" s="44" t="s">
        <v>1</v>
      </c>
      <c r="C3" s="45" t="s">
        <v>2</v>
      </c>
      <c r="D3" s="46" t="s">
        <v>3</v>
      </c>
      <c r="E3" s="44" t="s">
        <v>5</v>
      </c>
      <c r="F3" s="45" t="s">
        <v>6</v>
      </c>
      <c r="G3" s="46" t="s">
        <v>7</v>
      </c>
    </row>
    <row r="4" spans="2:10" x14ac:dyDescent="0.25">
      <c r="B4" s="20">
        <v>1</v>
      </c>
      <c r="C4" s="21">
        <v>0</v>
      </c>
      <c r="D4" s="22">
        <v>0</v>
      </c>
      <c r="E4" s="26" t="s">
        <v>51</v>
      </c>
      <c r="F4" s="21" t="s">
        <v>51</v>
      </c>
      <c r="G4" s="22" t="s">
        <v>51</v>
      </c>
    </row>
    <row r="5" spans="2:10" x14ac:dyDescent="0.25">
      <c r="B5" s="20">
        <v>2</v>
      </c>
      <c r="C5" s="21">
        <v>0</v>
      </c>
      <c r="D5" s="22">
        <v>6</v>
      </c>
      <c r="E5" s="26"/>
      <c r="F5" s="21"/>
      <c r="G5" s="22"/>
    </row>
    <row r="6" spans="2:10" x14ac:dyDescent="0.25">
      <c r="B6" s="20">
        <v>3</v>
      </c>
      <c r="C6" s="21">
        <v>4</v>
      </c>
      <c r="D6" s="22">
        <v>6</v>
      </c>
      <c r="E6" s="26"/>
      <c r="F6" s="21" t="s">
        <v>51</v>
      </c>
      <c r="G6" s="22"/>
    </row>
    <row r="7" spans="2:10" x14ac:dyDescent="0.25">
      <c r="B7" s="20">
        <v>4</v>
      </c>
      <c r="C7" s="21"/>
      <c r="D7" s="22"/>
      <c r="E7" s="26"/>
      <c r="F7" s="21"/>
      <c r="G7" s="22"/>
    </row>
    <row r="8" spans="2:10" x14ac:dyDescent="0.25">
      <c r="B8" s="20">
        <v>5</v>
      </c>
      <c r="C8" s="21"/>
      <c r="D8" s="22"/>
      <c r="E8" s="26"/>
      <c r="F8" s="21"/>
      <c r="G8" s="22"/>
    </row>
    <row r="9" spans="2:10" x14ac:dyDescent="0.25">
      <c r="B9" s="20">
        <v>6</v>
      </c>
      <c r="C9" s="21"/>
      <c r="D9" s="22"/>
      <c r="E9" s="26"/>
      <c r="F9" s="21"/>
      <c r="G9" s="22"/>
    </row>
    <row r="10" spans="2:10" x14ac:dyDescent="0.25">
      <c r="B10" s="20">
        <v>7</v>
      </c>
      <c r="C10" s="21"/>
      <c r="D10" s="22"/>
      <c r="E10" s="26"/>
      <c r="F10" s="21"/>
      <c r="G10" s="22"/>
      <c r="J10" s="5"/>
    </row>
    <row r="11" spans="2:10" x14ac:dyDescent="0.25">
      <c r="B11" s="20">
        <v>8</v>
      </c>
      <c r="C11" s="21"/>
      <c r="D11" s="22"/>
      <c r="E11" s="26"/>
      <c r="F11" s="21"/>
      <c r="G11" s="22"/>
      <c r="J11" s="42"/>
    </row>
    <row r="12" spans="2:10" x14ac:dyDescent="0.25">
      <c r="B12" s="20">
        <v>9</v>
      </c>
      <c r="C12" s="21"/>
      <c r="D12" s="22"/>
      <c r="E12" s="26"/>
      <c r="F12" s="21"/>
      <c r="G12" s="22"/>
      <c r="J12"/>
    </row>
    <row r="13" spans="2:10" x14ac:dyDescent="0.25">
      <c r="B13" s="20">
        <v>10</v>
      </c>
      <c r="C13" s="21"/>
      <c r="D13" s="22"/>
      <c r="E13" s="26"/>
      <c r="F13" s="21"/>
      <c r="G13" s="22"/>
      <c r="J13" s="31"/>
    </row>
    <row r="14" spans="2:10" x14ac:dyDescent="0.25">
      <c r="B14" s="20">
        <v>11</v>
      </c>
      <c r="C14" s="21"/>
      <c r="D14" s="22"/>
      <c r="E14" s="26"/>
      <c r="F14" s="21"/>
      <c r="G14" s="22"/>
      <c r="J14" s="43"/>
    </row>
    <row r="15" spans="2:10" x14ac:dyDescent="0.25">
      <c r="B15" s="20">
        <v>12</v>
      </c>
      <c r="C15" s="21"/>
      <c r="D15" s="22"/>
      <c r="E15" s="26"/>
      <c r="F15" s="21"/>
      <c r="G15" s="22"/>
      <c r="J15" s="31"/>
    </row>
    <row r="16" spans="2:10" x14ac:dyDescent="0.25">
      <c r="B16" s="20">
        <v>13</v>
      </c>
      <c r="C16" s="21"/>
      <c r="D16" s="22"/>
      <c r="E16" s="26"/>
      <c r="F16" s="21"/>
      <c r="G16" s="22"/>
    </row>
    <row r="17" spans="2:17" x14ac:dyDescent="0.25">
      <c r="B17" s="20">
        <v>14</v>
      </c>
      <c r="C17" s="21"/>
      <c r="D17" s="22"/>
      <c r="E17" s="26"/>
      <c r="F17" s="21"/>
      <c r="G17" s="22"/>
    </row>
    <row r="18" spans="2:17" x14ac:dyDescent="0.25">
      <c r="B18" s="20">
        <v>15</v>
      </c>
      <c r="C18" s="21"/>
      <c r="D18" s="22"/>
      <c r="E18" s="26"/>
      <c r="F18" s="21"/>
      <c r="G18" s="22"/>
    </row>
    <row r="19" spans="2:17" x14ac:dyDescent="0.25">
      <c r="B19" s="20">
        <v>16</v>
      </c>
      <c r="C19" s="21"/>
      <c r="D19" s="22"/>
      <c r="E19" s="26"/>
      <c r="F19" s="21"/>
      <c r="G19" s="22"/>
    </row>
    <row r="20" spans="2:17" x14ac:dyDescent="0.25">
      <c r="B20" s="20">
        <v>17</v>
      </c>
      <c r="C20" s="21"/>
      <c r="D20" s="22"/>
      <c r="E20" s="26"/>
      <c r="F20" s="21"/>
      <c r="G20" s="22"/>
    </row>
    <row r="21" spans="2:17" x14ac:dyDescent="0.25">
      <c r="B21" s="20">
        <v>18</v>
      </c>
      <c r="C21" s="21"/>
      <c r="D21" s="22"/>
      <c r="E21" s="26"/>
      <c r="F21" s="21"/>
      <c r="G21" s="22"/>
    </row>
    <row r="22" spans="2:17" x14ac:dyDescent="0.25">
      <c r="B22" s="20">
        <v>19</v>
      </c>
      <c r="C22" s="21"/>
      <c r="D22" s="22"/>
      <c r="E22" s="26"/>
      <c r="F22" s="21"/>
      <c r="G22" s="22"/>
    </row>
    <row r="23" spans="2:17" ht="15.75" thickBot="1" x14ac:dyDescent="0.3">
      <c r="B23" s="23">
        <v>20</v>
      </c>
      <c r="C23" s="24"/>
      <c r="D23" s="25"/>
      <c r="E23" s="27"/>
      <c r="F23" s="24"/>
      <c r="G23" s="25"/>
    </row>
    <row r="24" spans="2:17" ht="15.75" thickBot="1" x14ac:dyDescent="0.3"/>
    <row r="25" spans="2:17" x14ac:dyDescent="0.25">
      <c r="B25" s="68" t="s">
        <v>8</v>
      </c>
      <c r="C25" s="69"/>
      <c r="D25" s="70"/>
      <c r="E25" s="68" t="s">
        <v>12</v>
      </c>
      <c r="F25" s="69"/>
      <c r="G25" s="70"/>
    </row>
    <row r="26" spans="2:17" x14ac:dyDescent="0.25">
      <c r="B26" s="17" t="s">
        <v>9</v>
      </c>
      <c r="C26" s="18" t="s">
        <v>10</v>
      </c>
      <c r="D26" s="19" t="s">
        <v>11</v>
      </c>
      <c r="E26" s="17" t="s">
        <v>13</v>
      </c>
      <c r="F26" s="18" t="s">
        <v>14</v>
      </c>
      <c r="G26" s="19" t="s">
        <v>15</v>
      </c>
      <c r="H26" s="2" t="s">
        <v>31</v>
      </c>
      <c r="I26" s="2" t="s">
        <v>32</v>
      </c>
      <c r="J26" s="2" t="s">
        <v>33</v>
      </c>
      <c r="K26" s="2" t="s">
        <v>34</v>
      </c>
      <c r="L26" s="2" t="s">
        <v>16</v>
      </c>
      <c r="M26" s="2" t="s">
        <v>17</v>
      </c>
    </row>
    <row r="27" spans="2:17" x14ac:dyDescent="0.25">
      <c r="B27" s="20">
        <v>1</v>
      </c>
      <c r="C27" s="21">
        <v>1</v>
      </c>
      <c r="D27" s="22">
        <v>2</v>
      </c>
      <c r="E27" s="26">
        <v>0.04</v>
      </c>
      <c r="F27" s="29">
        <v>1.3300000000000001E-4</v>
      </c>
      <c r="G27" s="30">
        <v>200000000</v>
      </c>
      <c r="H27" s="28">
        <f t="shared" ref="H27:H46" si="0">IF(C27&lt;&gt;"",VLOOKUP(C27,$B$4:$D$23,2,FALSE),"")</f>
        <v>0</v>
      </c>
      <c r="I27" s="6">
        <f t="shared" ref="I27:I46" si="1">IF(C27&lt;&gt;"",VLOOKUP(C27,$B$4:$D$23,3,FALSE),"")</f>
        <v>0</v>
      </c>
      <c r="J27" s="6">
        <f t="shared" ref="J27:J46" si="2">IF(C27&lt;&gt;"",VLOOKUP(D27,$B$4:$D$23,2,FALSE),"")</f>
        <v>0</v>
      </c>
      <c r="K27" s="6">
        <f t="shared" ref="K27:K46" si="3">IF(C27&lt;&gt;"",VLOOKUP(D27,$B$4:$D$23,3,FALSE),"")</f>
        <v>6</v>
      </c>
      <c r="L27" s="6">
        <f t="shared" ref="L27:L46" si="4">IF(C27&lt;&gt;"",SQRT((H27-J27)^2+(I27-K27)^2),"")</f>
        <v>6</v>
      </c>
      <c r="M27" s="6">
        <f t="shared" ref="M27:M46" si="5">IF(C27&lt;&gt;"",ASIN((K27-I27)/L27)*180/PI(),"")</f>
        <v>90</v>
      </c>
    </row>
    <row r="28" spans="2:17" x14ac:dyDescent="0.25">
      <c r="B28" s="20">
        <v>2</v>
      </c>
      <c r="C28" s="21">
        <v>2</v>
      </c>
      <c r="D28" s="22">
        <v>3</v>
      </c>
      <c r="E28" s="26">
        <v>0.04</v>
      </c>
      <c r="F28" s="29">
        <v>1.3300000000000001E-4</v>
      </c>
      <c r="G28" s="30">
        <v>200000000</v>
      </c>
      <c r="H28" s="28">
        <f t="shared" si="0"/>
        <v>0</v>
      </c>
      <c r="I28" s="6">
        <f t="shared" si="1"/>
        <v>6</v>
      </c>
      <c r="J28" s="6">
        <f t="shared" si="2"/>
        <v>4</v>
      </c>
      <c r="K28" s="6">
        <f t="shared" si="3"/>
        <v>6</v>
      </c>
      <c r="L28" s="6">
        <f t="shared" si="4"/>
        <v>4</v>
      </c>
      <c r="M28" s="6">
        <f t="shared" si="5"/>
        <v>0</v>
      </c>
    </row>
    <row r="29" spans="2:17" x14ac:dyDescent="0.25">
      <c r="B29" s="20">
        <v>3</v>
      </c>
      <c r="C29" s="21"/>
      <c r="D29" s="22"/>
      <c r="E29" s="26"/>
      <c r="F29" s="21"/>
      <c r="G29" s="22"/>
      <c r="H29" s="28" t="str">
        <f t="shared" si="0"/>
        <v/>
      </c>
      <c r="I29" s="6" t="str">
        <f t="shared" si="1"/>
        <v/>
      </c>
      <c r="J29" s="6" t="str">
        <f t="shared" si="2"/>
        <v/>
      </c>
      <c r="K29" s="6" t="str">
        <f t="shared" si="3"/>
        <v/>
      </c>
      <c r="L29" s="6" t="str">
        <f t="shared" si="4"/>
        <v/>
      </c>
      <c r="M29" s="6" t="str">
        <f t="shared" si="5"/>
        <v/>
      </c>
    </row>
    <row r="30" spans="2:17" x14ac:dyDescent="0.25">
      <c r="B30" s="20">
        <v>4</v>
      </c>
      <c r="C30" s="21"/>
      <c r="D30" s="22"/>
      <c r="E30" s="26"/>
      <c r="F30" s="21"/>
      <c r="G30" s="22"/>
      <c r="H30" s="28" t="str">
        <f t="shared" si="0"/>
        <v/>
      </c>
      <c r="I30" s="6" t="str">
        <f t="shared" si="1"/>
        <v/>
      </c>
      <c r="J30" s="6" t="str">
        <f t="shared" si="2"/>
        <v/>
      </c>
      <c r="K30" s="6" t="str">
        <f t="shared" si="3"/>
        <v/>
      </c>
      <c r="L30" s="6" t="str">
        <f t="shared" si="4"/>
        <v/>
      </c>
      <c r="M30" s="6" t="str">
        <f t="shared" si="5"/>
        <v/>
      </c>
    </row>
    <row r="31" spans="2:17" x14ac:dyDescent="0.25">
      <c r="B31" s="20">
        <v>5</v>
      </c>
      <c r="C31" s="21"/>
      <c r="D31" s="22"/>
      <c r="E31" s="26"/>
      <c r="F31" s="21"/>
      <c r="G31" s="22"/>
      <c r="H31" s="28" t="str">
        <f t="shared" si="0"/>
        <v/>
      </c>
      <c r="I31" s="6" t="str">
        <f t="shared" si="1"/>
        <v/>
      </c>
      <c r="J31" s="6" t="str">
        <f t="shared" si="2"/>
        <v/>
      </c>
      <c r="K31" s="6" t="str">
        <f t="shared" si="3"/>
        <v/>
      </c>
      <c r="L31" s="6" t="str">
        <f t="shared" si="4"/>
        <v/>
      </c>
      <c r="M31" s="6" t="str">
        <f t="shared" si="5"/>
        <v/>
      </c>
    </row>
    <row r="32" spans="2:17" x14ac:dyDescent="0.25">
      <c r="B32" s="20">
        <v>6</v>
      </c>
      <c r="C32" s="21"/>
      <c r="D32" s="22"/>
      <c r="E32" s="26"/>
      <c r="F32" s="21"/>
      <c r="G32" s="22"/>
      <c r="H32" s="28" t="str">
        <f t="shared" si="0"/>
        <v/>
      </c>
      <c r="I32" s="6" t="str">
        <f t="shared" si="1"/>
        <v/>
      </c>
      <c r="J32" s="6" t="str">
        <f t="shared" si="2"/>
        <v/>
      </c>
      <c r="K32" s="6" t="str">
        <f t="shared" si="3"/>
        <v/>
      </c>
      <c r="L32" s="6" t="str">
        <f t="shared" si="4"/>
        <v/>
      </c>
      <c r="M32" s="6" t="str">
        <f t="shared" si="5"/>
        <v/>
      </c>
      <c r="Q32" s="31"/>
    </row>
    <row r="33" spans="2:13" x14ac:dyDescent="0.25">
      <c r="B33" s="20">
        <v>7</v>
      </c>
      <c r="C33" s="21"/>
      <c r="D33" s="22"/>
      <c r="E33" s="26"/>
      <c r="F33" s="21"/>
      <c r="G33" s="22"/>
      <c r="H33" s="28" t="str">
        <f t="shared" si="0"/>
        <v/>
      </c>
      <c r="I33" s="6" t="str">
        <f t="shared" si="1"/>
        <v/>
      </c>
      <c r="J33" s="6" t="str">
        <f t="shared" si="2"/>
        <v/>
      </c>
      <c r="K33" s="6" t="str">
        <f t="shared" si="3"/>
        <v/>
      </c>
      <c r="L33" s="6" t="str">
        <f t="shared" si="4"/>
        <v/>
      </c>
      <c r="M33" s="6" t="str">
        <f t="shared" si="5"/>
        <v/>
      </c>
    </row>
    <row r="34" spans="2:13" x14ac:dyDescent="0.25">
      <c r="B34" s="20">
        <v>8</v>
      </c>
      <c r="C34" s="21"/>
      <c r="D34" s="22"/>
      <c r="E34" s="26"/>
      <c r="F34" s="21"/>
      <c r="G34" s="22"/>
      <c r="H34" s="28" t="str">
        <f t="shared" si="0"/>
        <v/>
      </c>
      <c r="I34" s="6" t="str">
        <f t="shared" si="1"/>
        <v/>
      </c>
      <c r="J34" s="6" t="str">
        <f t="shared" si="2"/>
        <v/>
      </c>
      <c r="K34" s="6" t="str">
        <f t="shared" si="3"/>
        <v/>
      </c>
      <c r="L34" s="6" t="str">
        <f t="shared" si="4"/>
        <v/>
      </c>
      <c r="M34" s="6" t="str">
        <f t="shared" si="5"/>
        <v/>
      </c>
    </row>
    <row r="35" spans="2:13" x14ac:dyDescent="0.25">
      <c r="B35" s="20">
        <v>9</v>
      </c>
      <c r="C35" s="21"/>
      <c r="D35" s="22"/>
      <c r="E35" s="26"/>
      <c r="F35" s="21"/>
      <c r="G35" s="22"/>
      <c r="H35" s="28" t="str">
        <f t="shared" si="0"/>
        <v/>
      </c>
      <c r="I35" s="6" t="str">
        <f t="shared" si="1"/>
        <v/>
      </c>
      <c r="J35" s="6" t="str">
        <f t="shared" si="2"/>
        <v/>
      </c>
      <c r="K35" s="6" t="str">
        <f t="shared" si="3"/>
        <v/>
      </c>
      <c r="L35" s="6" t="str">
        <f t="shared" si="4"/>
        <v/>
      </c>
      <c r="M35" s="6" t="str">
        <f t="shared" si="5"/>
        <v/>
      </c>
    </row>
    <row r="36" spans="2:13" x14ac:dyDescent="0.25">
      <c r="B36" s="20">
        <v>10</v>
      </c>
      <c r="C36" s="21"/>
      <c r="D36" s="22"/>
      <c r="E36" s="26"/>
      <c r="F36" s="21"/>
      <c r="G36" s="22"/>
      <c r="H36" s="28" t="str">
        <f t="shared" si="0"/>
        <v/>
      </c>
      <c r="I36" s="6" t="str">
        <f t="shared" si="1"/>
        <v/>
      </c>
      <c r="J36" s="6" t="str">
        <f t="shared" si="2"/>
        <v/>
      </c>
      <c r="K36" s="6" t="str">
        <f t="shared" si="3"/>
        <v/>
      </c>
      <c r="L36" s="6" t="str">
        <f t="shared" si="4"/>
        <v/>
      </c>
      <c r="M36" s="6" t="str">
        <f t="shared" si="5"/>
        <v/>
      </c>
    </row>
    <row r="37" spans="2:13" x14ac:dyDescent="0.25">
      <c r="B37" s="20">
        <v>11</v>
      </c>
      <c r="C37" s="21"/>
      <c r="D37" s="22"/>
      <c r="E37" s="26"/>
      <c r="F37" s="21"/>
      <c r="G37" s="22"/>
      <c r="H37" s="28" t="str">
        <f t="shared" si="0"/>
        <v/>
      </c>
      <c r="I37" s="6" t="str">
        <f t="shared" si="1"/>
        <v/>
      </c>
      <c r="J37" s="6" t="str">
        <f t="shared" si="2"/>
        <v/>
      </c>
      <c r="K37" s="6" t="str">
        <f t="shared" si="3"/>
        <v/>
      </c>
      <c r="L37" s="6" t="str">
        <f t="shared" si="4"/>
        <v/>
      </c>
      <c r="M37" s="6" t="str">
        <f t="shared" si="5"/>
        <v/>
      </c>
    </row>
    <row r="38" spans="2:13" x14ac:dyDescent="0.25">
      <c r="B38" s="20">
        <v>12</v>
      </c>
      <c r="C38" s="21"/>
      <c r="D38" s="22"/>
      <c r="E38" s="26"/>
      <c r="F38" s="21"/>
      <c r="G38" s="22"/>
      <c r="H38" s="28" t="str">
        <f t="shared" si="0"/>
        <v/>
      </c>
      <c r="I38" s="6" t="str">
        <f t="shared" si="1"/>
        <v/>
      </c>
      <c r="J38" s="6" t="str">
        <f t="shared" si="2"/>
        <v/>
      </c>
      <c r="K38" s="6" t="str">
        <f t="shared" si="3"/>
        <v/>
      </c>
      <c r="L38" s="6" t="str">
        <f t="shared" si="4"/>
        <v/>
      </c>
      <c r="M38" s="6" t="str">
        <f t="shared" si="5"/>
        <v/>
      </c>
    </row>
    <row r="39" spans="2:13" x14ac:dyDescent="0.25">
      <c r="B39" s="20">
        <v>13</v>
      </c>
      <c r="C39" s="21"/>
      <c r="D39" s="22"/>
      <c r="E39" s="26"/>
      <c r="F39" s="21"/>
      <c r="G39" s="22"/>
      <c r="H39" s="28" t="str">
        <f t="shared" si="0"/>
        <v/>
      </c>
      <c r="I39" s="6" t="str">
        <f t="shared" si="1"/>
        <v/>
      </c>
      <c r="J39" s="6" t="str">
        <f t="shared" si="2"/>
        <v/>
      </c>
      <c r="K39" s="6" t="str">
        <f t="shared" si="3"/>
        <v/>
      </c>
      <c r="L39" s="6" t="str">
        <f t="shared" si="4"/>
        <v/>
      </c>
      <c r="M39" s="6" t="str">
        <f t="shared" si="5"/>
        <v/>
      </c>
    </row>
    <row r="40" spans="2:13" x14ac:dyDescent="0.25">
      <c r="B40" s="20">
        <v>14</v>
      </c>
      <c r="C40" s="21"/>
      <c r="D40" s="22"/>
      <c r="E40" s="26"/>
      <c r="F40" s="21"/>
      <c r="G40" s="22"/>
      <c r="H40" s="28" t="str">
        <f t="shared" si="0"/>
        <v/>
      </c>
      <c r="I40" s="6" t="str">
        <f t="shared" si="1"/>
        <v/>
      </c>
      <c r="J40" s="6" t="str">
        <f t="shared" si="2"/>
        <v/>
      </c>
      <c r="K40" s="6" t="str">
        <f t="shared" si="3"/>
        <v/>
      </c>
      <c r="L40" s="6" t="str">
        <f t="shared" si="4"/>
        <v/>
      </c>
      <c r="M40" s="6" t="str">
        <f t="shared" si="5"/>
        <v/>
      </c>
    </row>
    <row r="41" spans="2:13" x14ac:dyDescent="0.25">
      <c r="B41" s="20">
        <v>15</v>
      </c>
      <c r="C41" s="21"/>
      <c r="D41" s="22"/>
      <c r="E41" s="26"/>
      <c r="F41" s="21"/>
      <c r="G41" s="22"/>
      <c r="H41" s="28" t="str">
        <f t="shared" si="0"/>
        <v/>
      </c>
      <c r="I41" s="6" t="str">
        <f t="shared" si="1"/>
        <v/>
      </c>
      <c r="J41" s="6" t="str">
        <f t="shared" si="2"/>
        <v/>
      </c>
      <c r="K41" s="6" t="str">
        <f t="shared" si="3"/>
        <v/>
      </c>
      <c r="L41" s="6" t="str">
        <f t="shared" si="4"/>
        <v/>
      </c>
      <c r="M41" s="6" t="str">
        <f t="shared" si="5"/>
        <v/>
      </c>
    </row>
    <row r="42" spans="2:13" x14ac:dyDescent="0.25">
      <c r="B42" s="20">
        <v>16</v>
      </c>
      <c r="C42" s="21"/>
      <c r="D42" s="22"/>
      <c r="E42" s="26"/>
      <c r="F42" s="21"/>
      <c r="G42" s="22"/>
      <c r="H42" s="28" t="str">
        <f t="shared" si="0"/>
        <v/>
      </c>
      <c r="I42" s="6" t="str">
        <f t="shared" si="1"/>
        <v/>
      </c>
      <c r="J42" s="6" t="str">
        <f t="shared" si="2"/>
        <v/>
      </c>
      <c r="K42" s="6" t="str">
        <f t="shared" si="3"/>
        <v/>
      </c>
      <c r="L42" s="6" t="str">
        <f t="shared" si="4"/>
        <v/>
      </c>
      <c r="M42" s="6" t="str">
        <f t="shared" si="5"/>
        <v/>
      </c>
    </row>
    <row r="43" spans="2:13" x14ac:dyDescent="0.25">
      <c r="B43" s="20">
        <v>17</v>
      </c>
      <c r="C43" s="21"/>
      <c r="D43" s="22"/>
      <c r="E43" s="26"/>
      <c r="F43" s="21"/>
      <c r="G43" s="22"/>
      <c r="H43" s="28" t="str">
        <f t="shared" si="0"/>
        <v/>
      </c>
      <c r="I43" s="6" t="str">
        <f t="shared" si="1"/>
        <v/>
      </c>
      <c r="J43" s="6" t="str">
        <f t="shared" si="2"/>
        <v/>
      </c>
      <c r="K43" s="6" t="str">
        <f t="shared" si="3"/>
        <v/>
      </c>
      <c r="L43" s="6" t="str">
        <f t="shared" si="4"/>
        <v/>
      </c>
      <c r="M43" s="6" t="str">
        <f t="shared" si="5"/>
        <v/>
      </c>
    </row>
    <row r="44" spans="2:13" x14ac:dyDescent="0.25">
      <c r="B44" s="20">
        <v>18</v>
      </c>
      <c r="C44" s="21"/>
      <c r="D44" s="22"/>
      <c r="E44" s="26"/>
      <c r="F44" s="21"/>
      <c r="G44" s="22"/>
      <c r="H44" s="28" t="str">
        <f t="shared" si="0"/>
        <v/>
      </c>
      <c r="I44" s="6" t="str">
        <f t="shared" si="1"/>
        <v/>
      </c>
      <c r="J44" s="6" t="str">
        <f t="shared" si="2"/>
        <v/>
      </c>
      <c r="K44" s="6" t="str">
        <f t="shared" si="3"/>
        <v/>
      </c>
      <c r="L44" s="6" t="str">
        <f t="shared" si="4"/>
        <v/>
      </c>
      <c r="M44" s="6" t="str">
        <f t="shared" si="5"/>
        <v/>
      </c>
    </row>
    <row r="45" spans="2:13" x14ac:dyDescent="0.25">
      <c r="B45" s="20">
        <v>19</v>
      </c>
      <c r="C45" s="21"/>
      <c r="D45" s="22"/>
      <c r="E45" s="26"/>
      <c r="F45" s="21"/>
      <c r="G45" s="22"/>
      <c r="H45" s="28" t="str">
        <f t="shared" si="0"/>
        <v/>
      </c>
      <c r="I45" s="6" t="str">
        <f t="shared" si="1"/>
        <v/>
      </c>
      <c r="J45" s="6" t="str">
        <f t="shared" si="2"/>
        <v/>
      </c>
      <c r="K45" s="6" t="str">
        <f t="shared" si="3"/>
        <v/>
      </c>
      <c r="L45" s="6" t="str">
        <f t="shared" si="4"/>
        <v/>
      </c>
      <c r="M45" s="6" t="str">
        <f t="shared" si="5"/>
        <v/>
      </c>
    </row>
    <row r="46" spans="2:13" ht="15.75" thickBot="1" x14ac:dyDescent="0.3">
      <c r="B46" s="23">
        <v>20</v>
      </c>
      <c r="C46" s="24"/>
      <c r="D46" s="25"/>
      <c r="E46" s="27"/>
      <c r="F46" s="24"/>
      <c r="G46" s="25"/>
      <c r="H46" s="28" t="str">
        <f t="shared" si="0"/>
        <v/>
      </c>
      <c r="I46" s="6" t="str">
        <f t="shared" si="1"/>
        <v/>
      </c>
      <c r="J46" s="6" t="str">
        <f t="shared" si="2"/>
        <v/>
      </c>
      <c r="K46" s="6" t="str">
        <f t="shared" si="3"/>
        <v/>
      </c>
      <c r="L46" s="6" t="str">
        <f t="shared" si="4"/>
        <v/>
      </c>
      <c r="M46" s="6" t="str">
        <f t="shared" si="5"/>
        <v/>
      </c>
    </row>
    <row r="47" spans="2:13" x14ac:dyDescent="0.25"/>
    <row r="48" spans="2:13" x14ac:dyDescent="0.25"/>
    <row r="49" spans="2:11" x14ac:dyDescent="0.25">
      <c r="B49" s="64" t="s">
        <v>30</v>
      </c>
      <c r="C49" s="64"/>
    </row>
    <row r="50" spans="2:11" x14ac:dyDescent="0.25">
      <c r="B50" s="1" t="s">
        <v>18</v>
      </c>
      <c r="C50" s="7">
        <v>0.04</v>
      </c>
    </row>
    <row r="51" spans="2:11" x14ac:dyDescent="0.25">
      <c r="B51" s="1" t="s">
        <v>19</v>
      </c>
      <c r="C51" s="7">
        <v>200000000</v>
      </c>
    </row>
    <row r="52" spans="2:11" x14ac:dyDescent="0.25">
      <c r="B52" s="1" t="s">
        <v>20</v>
      </c>
      <c r="C52" s="7">
        <v>1.3300000000000001E-4</v>
      </c>
    </row>
    <row r="53" spans="2:11" x14ac:dyDescent="0.25">
      <c r="B53" s="1" t="s">
        <v>16</v>
      </c>
      <c r="C53" s="6">
        <v>4</v>
      </c>
    </row>
    <row r="54" spans="2:11" x14ac:dyDescent="0.25">
      <c r="B54" s="3" t="s">
        <v>17</v>
      </c>
      <c r="C54" s="6">
        <v>0</v>
      </c>
    </row>
    <row r="55" spans="2:11" x14ac:dyDescent="0.25"/>
    <row r="56" spans="2:11" x14ac:dyDescent="0.25">
      <c r="D56" s="4" t="s">
        <v>21</v>
      </c>
      <c r="E56" s="4" t="s">
        <v>22</v>
      </c>
      <c r="F56" s="4" t="s">
        <v>23</v>
      </c>
      <c r="G56" s="4" t="s">
        <v>24</v>
      </c>
      <c r="H56" s="4" t="s">
        <v>25</v>
      </c>
      <c r="I56" s="4" t="s">
        <v>26</v>
      </c>
    </row>
    <row r="57" spans="2:11" x14ac:dyDescent="0.25">
      <c r="C57" s="4" t="s">
        <v>21</v>
      </c>
      <c r="D57" s="41">
        <f>C50*COS(RADIANS(C54))^2+12*C52*SIN(RADIANS(C54))^2/C53^2</f>
        <v>0.04</v>
      </c>
      <c r="E57" s="7">
        <f>SIN(RADIANS(C54))*COS(RADIANS(C54))*(C50-12*C52/C53^2)</f>
        <v>0</v>
      </c>
      <c r="F57" s="7">
        <f>-6*C52*SIN(RADIANS(C54))/C53</f>
        <v>0</v>
      </c>
      <c r="G57" s="7">
        <f>-D57</f>
        <v>-0.04</v>
      </c>
      <c r="H57" s="7">
        <f>-E57</f>
        <v>0</v>
      </c>
      <c r="I57" s="7">
        <f>F57</f>
        <v>0</v>
      </c>
    </row>
    <row r="58" spans="2:11" x14ac:dyDescent="0.25">
      <c r="C58" s="4" t="s">
        <v>22</v>
      </c>
      <c r="D58" s="7">
        <f>E57</f>
        <v>0</v>
      </c>
      <c r="E58" s="7">
        <f>C50*SIN(RADIANS(C54))^2+12*C52*COS(RADIANS(C54))^2/C53^2</f>
        <v>9.9750000000000012E-5</v>
      </c>
      <c r="F58" s="7">
        <f>6*C52*COS(RADIANS(C54))/C53</f>
        <v>1.9950000000000002E-4</v>
      </c>
      <c r="G58" s="7">
        <f>H57</f>
        <v>0</v>
      </c>
      <c r="H58" s="7">
        <f>-E58</f>
        <v>-9.9750000000000012E-5</v>
      </c>
      <c r="I58" s="7">
        <f>F58</f>
        <v>1.9950000000000002E-4</v>
      </c>
    </row>
    <row r="59" spans="2:11" x14ac:dyDescent="0.25">
      <c r="B59" s="1" t="s">
        <v>27</v>
      </c>
      <c r="C59" s="4" t="s">
        <v>23</v>
      </c>
      <c r="D59" s="7">
        <f>F57</f>
        <v>0</v>
      </c>
      <c r="E59" s="7">
        <f>F58</f>
        <v>1.9950000000000002E-4</v>
      </c>
      <c r="F59" s="7">
        <f>4*C52</f>
        <v>5.3200000000000003E-4</v>
      </c>
      <c r="G59" s="7">
        <f>-F57</f>
        <v>0</v>
      </c>
      <c r="H59" s="7">
        <f>-I58</f>
        <v>-1.9950000000000002E-4</v>
      </c>
      <c r="I59" s="7">
        <f>2*C52</f>
        <v>2.6600000000000001E-4</v>
      </c>
      <c r="J59" s="1" t="s">
        <v>28</v>
      </c>
      <c r="K59" s="7">
        <f>C51/C53</f>
        <v>50000000</v>
      </c>
    </row>
    <row r="60" spans="2:11" x14ac:dyDescent="0.25">
      <c r="C60" s="4" t="s">
        <v>24</v>
      </c>
      <c r="D60" s="7">
        <f>G57</f>
        <v>-0.04</v>
      </c>
      <c r="E60" s="7">
        <f>G58</f>
        <v>0</v>
      </c>
      <c r="F60" s="7">
        <f>G59</f>
        <v>0</v>
      </c>
      <c r="G60" s="7">
        <f>D57</f>
        <v>0.04</v>
      </c>
      <c r="H60" s="7">
        <f>E57</f>
        <v>0</v>
      </c>
      <c r="I60" s="7">
        <f>G59</f>
        <v>0</v>
      </c>
    </row>
    <row r="61" spans="2:11" x14ac:dyDescent="0.25">
      <c r="C61" s="4" t="s">
        <v>25</v>
      </c>
      <c r="D61" s="7">
        <f>H57</f>
        <v>0</v>
      </c>
      <c r="E61" s="7">
        <f>H58</f>
        <v>-9.9750000000000012E-5</v>
      </c>
      <c r="F61" s="7">
        <f>H59</f>
        <v>-1.9950000000000002E-4</v>
      </c>
      <c r="G61" s="7">
        <f>H60</f>
        <v>0</v>
      </c>
      <c r="H61" s="7">
        <f>E58</f>
        <v>9.9750000000000012E-5</v>
      </c>
      <c r="I61" s="7">
        <f>H59</f>
        <v>-1.9950000000000002E-4</v>
      </c>
    </row>
    <row r="62" spans="2:11" x14ac:dyDescent="0.25">
      <c r="C62" s="4" t="s">
        <v>26</v>
      </c>
      <c r="D62" s="7">
        <f>I57</f>
        <v>0</v>
      </c>
      <c r="E62" s="7">
        <f>I58</f>
        <v>1.9950000000000002E-4</v>
      </c>
      <c r="F62" s="7">
        <f>I59</f>
        <v>2.6600000000000001E-4</v>
      </c>
      <c r="G62" s="7">
        <f>I60</f>
        <v>0</v>
      </c>
      <c r="H62" s="7">
        <f>I61</f>
        <v>-1.9950000000000002E-4</v>
      </c>
      <c r="I62" s="7">
        <f>F59</f>
        <v>5.3200000000000003E-4</v>
      </c>
    </row>
    <row r="63" spans="2:11" x14ac:dyDescent="0.25"/>
    <row r="64" spans="2:11" ht="15.75" thickBot="1" x14ac:dyDescent="0.3">
      <c r="D64" s="4" t="s">
        <v>21</v>
      </c>
      <c r="E64" s="4" t="s">
        <v>22</v>
      </c>
      <c r="F64" s="4" t="s">
        <v>23</v>
      </c>
      <c r="G64" s="4" t="s">
        <v>24</v>
      </c>
      <c r="H64" s="4" t="s">
        <v>25</v>
      </c>
      <c r="I64" s="4" t="s">
        <v>26</v>
      </c>
    </row>
    <row r="65" spans="2:9" x14ac:dyDescent="0.25">
      <c r="C65" s="4" t="s">
        <v>21</v>
      </c>
      <c r="D65" s="8">
        <f>D57*$K$59</f>
        <v>2000000</v>
      </c>
      <c r="E65" s="9">
        <f t="shared" ref="E65:I65" si="6">E57*$K$59</f>
        <v>0</v>
      </c>
      <c r="F65" s="9">
        <f t="shared" si="6"/>
        <v>0</v>
      </c>
      <c r="G65" s="9">
        <f t="shared" si="6"/>
        <v>-2000000</v>
      </c>
      <c r="H65" s="9">
        <f t="shared" si="6"/>
        <v>0</v>
      </c>
      <c r="I65" s="10">
        <f t="shared" si="6"/>
        <v>0</v>
      </c>
    </row>
    <row r="66" spans="2:9" x14ac:dyDescent="0.25">
      <c r="C66" s="4" t="s">
        <v>22</v>
      </c>
      <c r="D66" s="11">
        <f t="shared" ref="D66:D70" si="7">D58*$K$59</f>
        <v>0</v>
      </c>
      <c r="E66" s="12">
        <f t="shared" ref="E66:I66" si="8">E58*$K$59</f>
        <v>4987.5000000000009</v>
      </c>
      <c r="F66" s="12">
        <f t="shared" si="8"/>
        <v>9975.0000000000018</v>
      </c>
      <c r="G66" s="12">
        <f t="shared" si="8"/>
        <v>0</v>
      </c>
      <c r="H66" s="12">
        <f t="shared" si="8"/>
        <v>-4987.5000000000009</v>
      </c>
      <c r="I66" s="13">
        <f t="shared" si="8"/>
        <v>9975.0000000000018</v>
      </c>
    </row>
    <row r="67" spans="2:9" x14ac:dyDescent="0.25">
      <c r="B67" s="1" t="s">
        <v>29</v>
      </c>
      <c r="C67" s="4" t="s">
        <v>23</v>
      </c>
      <c r="D67" s="11">
        <f>D59*$K$59</f>
        <v>0</v>
      </c>
      <c r="E67" s="12">
        <f t="shared" ref="E67:I67" si="9">E59*$K$59</f>
        <v>9975.0000000000018</v>
      </c>
      <c r="F67" s="12">
        <f t="shared" si="9"/>
        <v>26600</v>
      </c>
      <c r="G67" s="12">
        <f t="shared" si="9"/>
        <v>0</v>
      </c>
      <c r="H67" s="12">
        <f t="shared" si="9"/>
        <v>-9975.0000000000018</v>
      </c>
      <c r="I67" s="13">
        <f t="shared" si="9"/>
        <v>13300</v>
      </c>
    </row>
    <row r="68" spans="2:9" x14ac:dyDescent="0.25">
      <c r="C68" s="4" t="s">
        <v>24</v>
      </c>
      <c r="D68" s="11">
        <f t="shared" si="7"/>
        <v>-2000000</v>
      </c>
      <c r="E68" s="12">
        <f t="shared" ref="E68:I68" si="10">E60*$K$59</f>
        <v>0</v>
      </c>
      <c r="F68" s="12">
        <f t="shared" si="10"/>
        <v>0</v>
      </c>
      <c r="G68" s="12">
        <f t="shared" si="10"/>
        <v>2000000</v>
      </c>
      <c r="H68" s="12">
        <f t="shared" si="10"/>
        <v>0</v>
      </c>
      <c r="I68" s="13">
        <f t="shared" si="10"/>
        <v>0</v>
      </c>
    </row>
    <row r="69" spans="2:9" x14ac:dyDescent="0.25">
      <c r="C69" s="4" t="s">
        <v>25</v>
      </c>
      <c r="D69" s="11">
        <f t="shared" si="7"/>
        <v>0</v>
      </c>
      <c r="E69" s="12">
        <f t="shared" ref="E69:I69" si="11">E61*$K$59</f>
        <v>-4987.5000000000009</v>
      </c>
      <c r="F69" s="12">
        <f t="shared" si="11"/>
        <v>-9975.0000000000018</v>
      </c>
      <c r="G69" s="12">
        <f t="shared" si="11"/>
        <v>0</v>
      </c>
      <c r="H69" s="12">
        <f t="shared" si="11"/>
        <v>4987.5000000000009</v>
      </c>
      <c r="I69" s="13">
        <f t="shared" si="11"/>
        <v>-9975.0000000000018</v>
      </c>
    </row>
    <row r="70" spans="2:9" ht="15.75" thickBot="1" x14ac:dyDescent="0.3">
      <c r="C70" s="4" t="s">
        <v>26</v>
      </c>
      <c r="D70" s="14">
        <f t="shared" si="7"/>
        <v>0</v>
      </c>
      <c r="E70" s="15">
        <f t="shared" ref="E70:I70" si="12">E62*$K$59</f>
        <v>9975.0000000000018</v>
      </c>
      <c r="F70" s="15">
        <f t="shared" si="12"/>
        <v>13300</v>
      </c>
      <c r="G70" s="15">
        <f t="shared" si="12"/>
        <v>0</v>
      </c>
      <c r="H70" s="15">
        <f t="shared" si="12"/>
        <v>-9975.0000000000018</v>
      </c>
      <c r="I70" s="16">
        <f t="shared" si="12"/>
        <v>26600</v>
      </c>
    </row>
    <row r="71" spans="2:9" x14ac:dyDescent="0.25"/>
  </sheetData>
  <mergeCells count="5">
    <mergeCell ref="B49:C49"/>
    <mergeCell ref="B2:D2"/>
    <mergeCell ref="E2:G2"/>
    <mergeCell ref="B25:D25"/>
    <mergeCell ref="E25:G25"/>
  </mergeCells>
  <dataValidations count="1">
    <dataValidation type="list" allowBlank="1" showInputMessage="1" showErrorMessage="1" sqref="E4:G23">
      <formula1>"Fixed"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7"/>
  <sheetViews>
    <sheetView showGridLines="0" zoomScale="85" zoomScaleNormal="85" workbookViewId="0">
      <selection activeCell="B29" sqref="B29"/>
    </sheetView>
  </sheetViews>
  <sheetFormatPr defaultColWidth="0" defaultRowHeight="15" zeroHeight="1" x14ac:dyDescent="0.25"/>
  <cols>
    <col min="1" max="1" width="3.140625" style="1" customWidth="1"/>
    <col min="2" max="7" width="12.7109375" style="1" customWidth="1"/>
    <col min="8" max="8" width="14.140625" style="1" bestFit="1" customWidth="1"/>
    <col min="9" max="10" width="12.7109375" style="1" customWidth="1"/>
    <col min="11" max="11" width="3.140625" style="1" customWidth="1"/>
    <col min="12" max="16384" width="12.7109375" style="1" hidden="1"/>
  </cols>
  <sheetData>
    <row r="1" spans="2:10" ht="15.75" thickBot="1" x14ac:dyDescent="0.3"/>
    <row r="2" spans="2:10" ht="15" customHeight="1" x14ac:dyDescent="0.25">
      <c r="B2" s="65" t="s">
        <v>53</v>
      </c>
      <c r="C2" s="66"/>
      <c r="D2" s="67"/>
      <c r="F2" s="71" t="s">
        <v>52</v>
      </c>
      <c r="G2" s="72"/>
      <c r="H2" s="72"/>
      <c r="I2" s="72"/>
      <c r="J2" s="52"/>
    </row>
    <row r="3" spans="2:10" s="40" customFormat="1" ht="30" customHeight="1" x14ac:dyDescent="0.25">
      <c r="B3" s="44" t="s">
        <v>42</v>
      </c>
      <c r="C3" s="45" t="s">
        <v>43</v>
      </c>
      <c r="D3" s="46" t="s">
        <v>54</v>
      </c>
      <c r="F3" s="44" t="s">
        <v>45</v>
      </c>
      <c r="G3" s="45" t="s">
        <v>43</v>
      </c>
      <c r="H3" s="45" t="s">
        <v>44</v>
      </c>
      <c r="I3" s="45" t="s">
        <v>46</v>
      </c>
      <c r="J3" s="46" t="s">
        <v>65</v>
      </c>
    </row>
    <row r="4" spans="2:10" x14ac:dyDescent="0.25">
      <c r="B4" s="26"/>
      <c r="C4" s="21"/>
      <c r="D4" s="22"/>
      <c r="F4" s="26">
        <v>2</v>
      </c>
      <c r="G4" s="21">
        <v>-96</v>
      </c>
      <c r="H4" s="21" t="s">
        <v>72</v>
      </c>
      <c r="I4" s="38">
        <v>3</v>
      </c>
      <c r="J4" s="49">
        <f>IF(AND(G4&lt;&gt;"",I4&lt;&gt;""),I4/VLOOKUP(F4,Geometry!$B$27:$L$46,11,FALSE),"")</f>
        <v>0.75</v>
      </c>
    </row>
    <row r="5" spans="2:10" x14ac:dyDescent="0.25">
      <c r="B5" s="26"/>
      <c r="C5" s="21"/>
      <c r="D5" s="22"/>
      <c r="F5" s="26">
        <v>1</v>
      </c>
      <c r="G5" s="21">
        <v>-48</v>
      </c>
      <c r="H5" s="21" t="s">
        <v>72</v>
      </c>
      <c r="I5" s="38">
        <v>3</v>
      </c>
      <c r="J5" s="49">
        <f>IF(AND(G5&lt;&gt;"",I5&lt;&gt;""),I5/VLOOKUP(F5,Geometry!$B$27:$L$46,11,FALSE),"")</f>
        <v>0.5</v>
      </c>
    </row>
    <row r="6" spans="2:10" x14ac:dyDescent="0.25">
      <c r="B6" s="26"/>
      <c r="C6" s="21"/>
      <c r="D6" s="22"/>
      <c r="F6" s="26"/>
      <c r="G6" s="21"/>
      <c r="H6" s="21"/>
      <c r="I6" s="38"/>
      <c r="J6" s="49" t="str">
        <f>IF(AND(G6&lt;&gt;"",I6&lt;&gt;""),I6/VLOOKUP(F6,Geometry!$B$27:$L$46,11,FALSE),"")</f>
        <v/>
      </c>
    </row>
    <row r="7" spans="2:10" x14ac:dyDescent="0.25">
      <c r="B7" s="26"/>
      <c r="C7" s="21"/>
      <c r="D7" s="22"/>
      <c r="F7" s="26"/>
      <c r="G7" s="21"/>
      <c r="H7" s="21"/>
      <c r="I7" s="38"/>
      <c r="J7" s="49" t="str">
        <f>IF(AND(G7&lt;&gt;"",I7&lt;&gt;""),I7/VLOOKUP(F7,Geometry!$B$27:$L$46,11,FALSE),"")</f>
        <v/>
      </c>
    </row>
    <row r="8" spans="2:10" x14ac:dyDescent="0.25">
      <c r="B8" s="26"/>
      <c r="C8" s="21"/>
      <c r="D8" s="22"/>
      <c r="F8" s="26"/>
      <c r="G8" s="21"/>
      <c r="H8" s="21"/>
      <c r="I8" s="38"/>
      <c r="J8" s="49" t="str">
        <f>IF(AND(G8&lt;&gt;"",I8&lt;&gt;""),I8/VLOOKUP(F8,Geometry!$B$27:$L$46,11,FALSE),"")</f>
        <v/>
      </c>
    </row>
    <row r="9" spans="2:10" x14ac:dyDescent="0.25">
      <c r="B9" s="26"/>
      <c r="C9" s="21"/>
      <c r="D9" s="22"/>
      <c r="F9" s="26"/>
      <c r="G9" s="21"/>
      <c r="H9" s="21"/>
      <c r="I9" s="38"/>
      <c r="J9" s="49" t="str">
        <f>IF(AND(G9&lt;&gt;"",I9&lt;&gt;""),I9/VLOOKUP(F9,Geometry!$B$27:$L$46,11,FALSE),"")</f>
        <v/>
      </c>
    </row>
    <row r="10" spans="2:10" x14ac:dyDescent="0.25">
      <c r="B10" s="26"/>
      <c r="C10" s="21"/>
      <c r="D10" s="22"/>
      <c r="F10" s="26"/>
      <c r="G10" s="21"/>
      <c r="H10" s="21"/>
      <c r="I10" s="38"/>
      <c r="J10" s="49" t="str">
        <f>IF(AND(G10&lt;&gt;"",I10&lt;&gt;""),I10/VLOOKUP(F10,Geometry!$B$27:$L$46,11,FALSE),"")</f>
        <v/>
      </c>
    </row>
    <row r="11" spans="2:10" x14ac:dyDescent="0.25">
      <c r="B11" s="26"/>
      <c r="C11" s="21"/>
      <c r="D11" s="22"/>
      <c r="F11" s="26"/>
      <c r="G11" s="21"/>
      <c r="H11" s="21"/>
      <c r="I11" s="38"/>
      <c r="J11" s="49" t="str">
        <f>IF(AND(G11&lt;&gt;"",I11&lt;&gt;""),I11/VLOOKUP(F11,Geometry!$B$27:$L$46,11,FALSE),"")</f>
        <v/>
      </c>
    </row>
    <row r="12" spans="2:10" x14ac:dyDescent="0.25">
      <c r="B12" s="26"/>
      <c r="C12" s="21"/>
      <c r="D12" s="22"/>
      <c r="F12" s="26"/>
      <c r="G12" s="21"/>
      <c r="H12" s="21"/>
      <c r="I12" s="38"/>
      <c r="J12" s="49" t="str">
        <f>IF(AND(G12&lt;&gt;"",I12&lt;&gt;""),I12/VLOOKUP(F12,Geometry!$B$27:$L$46,11,FALSE),"")</f>
        <v/>
      </c>
    </row>
    <row r="13" spans="2:10" x14ac:dyDescent="0.25">
      <c r="B13" s="26"/>
      <c r="C13" s="21"/>
      <c r="D13" s="22"/>
      <c r="F13" s="26"/>
      <c r="G13" s="21"/>
      <c r="H13" s="21"/>
      <c r="I13" s="38"/>
      <c r="J13" s="49" t="str">
        <f>IF(AND(G13&lt;&gt;"",I13&lt;&gt;""),I13/VLOOKUP(F13,Geometry!$B$27:$L$46,11,FALSE),"")</f>
        <v/>
      </c>
    </row>
    <row r="14" spans="2:10" x14ac:dyDescent="0.25">
      <c r="B14" s="26"/>
      <c r="C14" s="21"/>
      <c r="D14" s="22"/>
      <c r="F14" s="26"/>
      <c r="G14" s="21"/>
      <c r="H14" s="21"/>
      <c r="I14" s="38"/>
      <c r="J14" s="49" t="str">
        <f>IF(AND(G14&lt;&gt;"",I14&lt;&gt;""),I14/VLOOKUP(F14,Geometry!$B$27:$L$46,11,FALSE),"")</f>
        <v/>
      </c>
    </row>
    <row r="15" spans="2:10" x14ac:dyDescent="0.25">
      <c r="B15" s="26"/>
      <c r="C15" s="21"/>
      <c r="D15" s="22"/>
      <c r="F15" s="26"/>
      <c r="G15" s="21"/>
      <c r="H15" s="21"/>
      <c r="I15" s="38"/>
      <c r="J15" s="49" t="str">
        <f>IF(AND(G15&lt;&gt;"",I15&lt;&gt;""),I15/VLOOKUP(F15,Geometry!$B$27:$L$46,11,FALSE),"")</f>
        <v/>
      </c>
    </row>
    <row r="16" spans="2:10" x14ac:dyDescent="0.25">
      <c r="B16" s="26"/>
      <c r="C16" s="21"/>
      <c r="D16" s="22"/>
      <c r="F16" s="26"/>
      <c r="G16" s="21"/>
      <c r="H16" s="21"/>
      <c r="I16" s="38"/>
      <c r="J16" s="49" t="str">
        <f>IF(AND(G16&lt;&gt;"",I16&lt;&gt;""),I16/VLOOKUP(F16,Geometry!$B$27:$L$46,11,FALSE),"")</f>
        <v/>
      </c>
    </row>
    <row r="17" spans="2:10" x14ac:dyDescent="0.25">
      <c r="B17" s="26"/>
      <c r="C17" s="21"/>
      <c r="D17" s="22"/>
      <c r="F17" s="26"/>
      <c r="G17" s="21"/>
      <c r="H17" s="21"/>
      <c r="I17" s="38"/>
      <c r="J17" s="49" t="str">
        <f>IF(AND(G17&lt;&gt;"",I17&lt;&gt;""),I17/VLOOKUP(F17,Geometry!$B$27:$L$46,11,FALSE),"")</f>
        <v/>
      </c>
    </row>
    <row r="18" spans="2:10" x14ac:dyDescent="0.25">
      <c r="B18" s="26"/>
      <c r="C18" s="21"/>
      <c r="D18" s="22"/>
      <c r="F18" s="26"/>
      <c r="G18" s="21"/>
      <c r="H18" s="21"/>
      <c r="I18" s="38"/>
      <c r="J18" s="49" t="str">
        <f>IF(AND(G18&lt;&gt;"",I18&lt;&gt;""),I18/VLOOKUP(F18,Geometry!$B$27:$L$46,11,FALSE),"")</f>
        <v/>
      </c>
    </row>
    <row r="19" spans="2:10" x14ac:dyDescent="0.25">
      <c r="B19" s="26"/>
      <c r="C19" s="21"/>
      <c r="D19" s="22"/>
      <c r="F19" s="26"/>
      <c r="G19" s="21"/>
      <c r="H19" s="21"/>
      <c r="I19" s="38"/>
      <c r="J19" s="49" t="str">
        <f>IF(AND(G19&lt;&gt;"",I19&lt;&gt;""),I19/VLOOKUP(F19,Geometry!$B$27:$L$46,11,FALSE),"")</f>
        <v/>
      </c>
    </row>
    <row r="20" spans="2:10" x14ac:dyDescent="0.25">
      <c r="B20" s="26"/>
      <c r="C20" s="21"/>
      <c r="D20" s="22"/>
      <c r="F20" s="26"/>
      <c r="G20" s="21"/>
      <c r="H20" s="21"/>
      <c r="I20" s="38"/>
      <c r="J20" s="49" t="str">
        <f>IF(AND(G20&lt;&gt;"",I20&lt;&gt;""),I20/VLOOKUP(F20,Geometry!$B$27:$L$46,11,FALSE),"")</f>
        <v/>
      </c>
    </row>
    <row r="21" spans="2:10" x14ac:dyDescent="0.25">
      <c r="B21" s="26"/>
      <c r="C21" s="21"/>
      <c r="D21" s="22"/>
      <c r="F21" s="26"/>
      <c r="G21" s="21"/>
      <c r="H21" s="21"/>
      <c r="I21" s="38"/>
      <c r="J21" s="49" t="str">
        <f>IF(AND(G21&lt;&gt;"",I21&lt;&gt;""),I21/VLOOKUP(F21,Geometry!$B$27:$L$46,11,FALSE),"")</f>
        <v/>
      </c>
    </row>
    <row r="22" spans="2:10" x14ac:dyDescent="0.25">
      <c r="B22" s="26"/>
      <c r="C22" s="21"/>
      <c r="D22" s="22"/>
      <c r="F22" s="26"/>
      <c r="G22" s="21"/>
      <c r="H22" s="21"/>
      <c r="I22" s="38"/>
      <c r="J22" s="49" t="str">
        <f>IF(AND(G22&lt;&gt;"",I22&lt;&gt;""),I22/VLOOKUP(F22,Geometry!$B$27:$L$46,11,FALSE),"")</f>
        <v/>
      </c>
    </row>
    <row r="23" spans="2:10" ht="15.75" thickBot="1" x14ac:dyDescent="0.3">
      <c r="B23" s="27"/>
      <c r="C23" s="24"/>
      <c r="D23" s="25"/>
      <c r="F23" s="27"/>
      <c r="G23" s="24"/>
      <c r="H23" s="24"/>
      <c r="I23" s="39"/>
      <c r="J23" s="51" t="str">
        <f>IF(AND(G23&lt;&gt;"",I23&lt;&gt;""),I23/VLOOKUP(F23,Geometry!$B$27:$L$46,11,FALSE),"")</f>
        <v/>
      </c>
    </row>
    <row r="24" spans="2:10" ht="15.75" thickBot="1" x14ac:dyDescent="0.3"/>
    <row r="25" spans="2:10" x14ac:dyDescent="0.25">
      <c r="B25" s="73" t="s">
        <v>66</v>
      </c>
      <c r="C25" s="74"/>
      <c r="D25" s="74"/>
      <c r="E25" s="74"/>
      <c r="F25" s="75"/>
      <c r="G25" s="53"/>
    </row>
    <row r="26" spans="2:10" ht="30" x14ac:dyDescent="0.25">
      <c r="B26" s="44" t="s">
        <v>45</v>
      </c>
      <c r="C26" s="45" t="s">
        <v>47</v>
      </c>
      <c r="D26" s="45" t="s">
        <v>48</v>
      </c>
      <c r="E26" s="45" t="s">
        <v>49</v>
      </c>
      <c r="F26" s="46" t="s">
        <v>50</v>
      </c>
      <c r="G26" s="54" t="s">
        <v>71</v>
      </c>
    </row>
    <row r="27" spans="2:10" x14ac:dyDescent="0.25">
      <c r="B27" s="26">
        <v>1</v>
      </c>
      <c r="C27" s="21">
        <v>-0.3</v>
      </c>
      <c r="D27" s="38">
        <v>-1</v>
      </c>
      <c r="E27" s="21">
        <v>0.5</v>
      </c>
      <c r="F27" s="22">
        <v>2</v>
      </c>
      <c r="G27" s="54" t="s">
        <v>67</v>
      </c>
    </row>
    <row r="28" spans="2:10" x14ac:dyDescent="0.25">
      <c r="B28" s="26">
        <v>2</v>
      </c>
      <c r="C28" s="21">
        <v>-1</v>
      </c>
      <c r="D28" s="38">
        <v>-0.3</v>
      </c>
      <c r="E28" s="21">
        <v>1</v>
      </c>
      <c r="F28" s="22">
        <v>3</v>
      </c>
      <c r="G28" s="54" t="s">
        <v>68</v>
      </c>
    </row>
    <row r="29" spans="2:10" x14ac:dyDescent="0.25">
      <c r="B29" s="26"/>
      <c r="C29" s="21"/>
      <c r="D29" s="38"/>
      <c r="E29" s="21"/>
      <c r="F29" s="22"/>
      <c r="G29" s="54" t="s">
        <v>69</v>
      </c>
    </row>
    <row r="30" spans="2:10" x14ac:dyDescent="0.25">
      <c r="B30" s="26"/>
      <c r="C30" s="21"/>
      <c r="D30" s="38"/>
      <c r="E30" s="21"/>
      <c r="F30" s="22"/>
      <c r="G30" s="54" t="s">
        <v>70</v>
      </c>
    </row>
    <row r="31" spans="2:10" x14ac:dyDescent="0.25">
      <c r="B31" s="26"/>
      <c r="C31" s="21"/>
      <c r="D31" s="38"/>
      <c r="E31" s="21"/>
      <c r="F31" s="22"/>
    </row>
    <row r="32" spans="2:10" x14ac:dyDescent="0.25">
      <c r="B32" s="26"/>
      <c r="C32" s="21"/>
      <c r="D32" s="38"/>
      <c r="E32" s="21"/>
      <c r="F32" s="22"/>
    </row>
    <row r="33" spans="2:6" x14ac:dyDescent="0.25">
      <c r="B33" s="26"/>
      <c r="C33" s="21"/>
      <c r="D33" s="38"/>
      <c r="E33" s="21"/>
      <c r="F33" s="22"/>
    </row>
    <row r="34" spans="2:6" x14ac:dyDescent="0.25">
      <c r="B34" s="26"/>
      <c r="C34" s="21"/>
      <c r="D34" s="38"/>
      <c r="E34" s="21"/>
      <c r="F34" s="22"/>
    </row>
    <row r="35" spans="2:6" x14ac:dyDescent="0.25">
      <c r="B35" s="26"/>
      <c r="C35" s="21"/>
      <c r="D35" s="38"/>
      <c r="E35" s="21"/>
      <c r="F35" s="22"/>
    </row>
    <row r="36" spans="2:6" x14ac:dyDescent="0.25">
      <c r="B36" s="26"/>
      <c r="C36" s="21"/>
      <c r="D36" s="38"/>
      <c r="E36" s="21"/>
      <c r="F36" s="22"/>
    </row>
    <row r="37" spans="2:6" x14ac:dyDescent="0.25">
      <c r="B37" s="26"/>
      <c r="C37" s="21"/>
      <c r="D37" s="38"/>
      <c r="E37" s="21"/>
      <c r="F37" s="22"/>
    </row>
    <row r="38" spans="2:6" x14ac:dyDescent="0.25">
      <c r="B38" s="26"/>
      <c r="C38" s="21"/>
      <c r="D38" s="38"/>
      <c r="E38" s="21"/>
      <c r="F38" s="22"/>
    </row>
    <row r="39" spans="2:6" x14ac:dyDescent="0.25">
      <c r="B39" s="26"/>
      <c r="C39" s="21"/>
      <c r="D39" s="38"/>
      <c r="E39" s="21"/>
      <c r="F39" s="22"/>
    </row>
    <row r="40" spans="2:6" x14ac:dyDescent="0.25">
      <c r="B40" s="26"/>
      <c r="C40" s="21"/>
      <c r="D40" s="38"/>
      <c r="E40" s="21"/>
      <c r="F40" s="22"/>
    </row>
    <row r="41" spans="2:6" x14ac:dyDescent="0.25">
      <c r="B41" s="26"/>
      <c r="C41" s="21"/>
      <c r="D41" s="38"/>
      <c r="E41" s="21"/>
      <c r="F41" s="22"/>
    </row>
    <row r="42" spans="2:6" x14ac:dyDescent="0.25">
      <c r="B42" s="26"/>
      <c r="C42" s="21"/>
      <c r="D42" s="38"/>
      <c r="E42" s="21"/>
      <c r="F42" s="22"/>
    </row>
    <row r="43" spans="2:6" x14ac:dyDescent="0.25">
      <c r="B43" s="26"/>
      <c r="C43" s="21"/>
      <c r="D43" s="38"/>
      <c r="E43" s="21"/>
      <c r="F43" s="22"/>
    </row>
    <row r="44" spans="2:6" x14ac:dyDescent="0.25">
      <c r="B44" s="26"/>
      <c r="C44" s="21"/>
      <c r="D44" s="38"/>
      <c r="E44" s="21"/>
      <c r="F44" s="22"/>
    </row>
    <row r="45" spans="2:6" x14ac:dyDescent="0.25">
      <c r="B45" s="26"/>
      <c r="C45" s="21"/>
      <c r="D45" s="38"/>
      <c r="E45" s="21"/>
      <c r="F45" s="22"/>
    </row>
    <row r="46" spans="2:6" ht="15.75" thickBot="1" x14ac:dyDescent="0.3">
      <c r="B46" s="27"/>
      <c r="C46" s="24"/>
      <c r="D46" s="39"/>
      <c r="E46" s="24"/>
      <c r="F46" s="25"/>
    </row>
    <row r="47" spans="2:6" x14ac:dyDescent="0.25"/>
  </sheetData>
  <mergeCells count="3">
    <mergeCell ref="B2:D2"/>
    <mergeCell ref="F2:I2"/>
    <mergeCell ref="B25:F25"/>
  </mergeCells>
  <dataValidations count="2">
    <dataValidation type="list" allowBlank="1" showInputMessage="1" showErrorMessage="1" sqref="D4:D23">
      <formula1>"Vertical, Horizontal, Moment"</formula1>
    </dataValidation>
    <dataValidation type="list" allowBlank="1" showInputMessage="1" showErrorMessage="1" sqref="H4:H23">
      <formula1>"Perpendicular, Axial, Moment"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Geometry!$B$4:$B$23</xm:f>
          </x14:formula1>
          <xm:sqref>B4:B23 F4:F23 B27:B46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8"/>
  <sheetViews>
    <sheetView showGridLines="0" tabSelected="1" topLeftCell="B1" zoomScale="85" zoomScaleNormal="85" workbookViewId="0">
      <selection activeCell="H15" sqref="H15"/>
    </sheetView>
  </sheetViews>
  <sheetFormatPr defaultColWidth="0" defaultRowHeight="15" zeroHeight="1" x14ac:dyDescent="0.25"/>
  <cols>
    <col min="1" max="1" width="3.140625" customWidth="1"/>
    <col min="2" max="10" width="12.7109375" customWidth="1"/>
    <col min="11" max="11" width="3.140625" customWidth="1"/>
    <col min="12" max="16384" width="12.7109375" hidden="1"/>
  </cols>
  <sheetData>
    <row r="1" spans="2:10" ht="15.75" thickBot="1" x14ac:dyDescent="0.3"/>
    <row r="2" spans="2:10" x14ac:dyDescent="0.25">
      <c r="B2" s="73" t="s">
        <v>55</v>
      </c>
      <c r="C2" s="74"/>
      <c r="D2" s="74"/>
      <c r="E2" s="75"/>
      <c r="G2" s="65" t="s">
        <v>57</v>
      </c>
      <c r="H2" s="66"/>
      <c r="I2" s="66"/>
      <c r="J2" s="67"/>
    </row>
    <row r="3" spans="2:10" ht="30" x14ac:dyDescent="0.25">
      <c r="B3" s="44" t="s">
        <v>1</v>
      </c>
      <c r="C3" s="45" t="s">
        <v>2</v>
      </c>
      <c r="D3" s="47" t="s">
        <v>3</v>
      </c>
      <c r="E3" s="46" t="s">
        <v>56</v>
      </c>
      <c r="G3" s="44" t="s">
        <v>1</v>
      </c>
      <c r="H3" s="45" t="s">
        <v>58</v>
      </c>
      <c r="I3" s="47" t="s">
        <v>59</v>
      </c>
      <c r="J3" s="46" t="s">
        <v>35</v>
      </c>
    </row>
    <row r="4" spans="2:10" x14ac:dyDescent="0.25">
      <c r="B4" s="20">
        <v>1</v>
      </c>
      <c r="C4" s="59">
        <v>0</v>
      </c>
      <c r="D4" s="59">
        <v>0</v>
      </c>
      <c r="E4" s="60">
        <v>0</v>
      </c>
      <c r="G4" s="20">
        <v>1</v>
      </c>
      <c r="H4" s="55">
        <v>-48.975000000000506</v>
      </c>
      <c r="I4" s="55">
        <v>19.39392904359838</v>
      </c>
      <c r="J4" s="58">
        <v>124.09238284106326</v>
      </c>
    </row>
    <row r="5" spans="2:10" x14ac:dyDescent="0.25">
      <c r="B5" s="20">
        <v>2</v>
      </c>
      <c r="C5" s="61">
        <v>2.6425731339816551E-2</v>
      </c>
      <c r="D5" s="62">
        <v>-1.4545446782700404E-5</v>
      </c>
      <c r="E5" s="63">
        <v>-3.3635896446003889E-3</v>
      </c>
      <c r="G5" s="20">
        <v>2</v>
      </c>
      <c r="H5" s="48"/>
      <c r="I5" s="55"/>
      <c r="J5" s="49"/>
    </row>
    <row r="6" spans="2:10" x14ac:dyDescent="0.25">
      <c r="B6" s="20">
        <v>3</v>
      </c>
      <c r="C6" s="61">
        <v>2.6425731339816551E-2</v>
      </c>
      <c r="D6" s="59">
        <v>0</v>
      </c>
      <c r="E6" s="63">
        <v>3.7378602670993461E-3</v>
      </c>
      <c r="G6" s="20">
        <v>3</v>
      </c>
      <c r="H6" s="56"/>
      <c r="I6" s="55">
        <v>77.906070956401607</v>
      </c>
      <c r="J6" s="58"/>
    </row>
    <row r="7" spans="2:10" x14ac:dyDescent="0.25">
      <c r="B7" s="20">
        <v>4</v>
      </c>
      <c r="C7" s="48"/>
      <c r="D7" s="48"/>
      <c r="E7" s="49"/>
      <c r="G7" s="20">
        <v>4</v>
      </c>
      <c r="H7" s="48"/>
      <c r="I7" s="48"/>
      <c r="J7" s="49"/>
    </row>
    <row r="8" spans="2:10" x14ac:dyDescent="0.25">
      <c r="B8" s="20">
        <v>5</v>
      </c>
      <c r="C8" s="48"/>
      <c r="D8" s="48"/>
      <c r="E8" s="49"/>
      <c r="G8" s="20">
        <v>5</v>
      </c>
      <c r="H8" s="48"/>
      <c r="I8" s="48"/>
      <c r="J8" s="49"/>
    </row>
    <row r="9" spans="2:10" x14ac:dyDescent="0.25">
      <c r="B9" s="20">
        <v>6</v>
      </c>
      <c r="C9" s="48"/>
      <c r="D9" s="48"/>
      <c r="E9" s="49"/>
      <c r="G9" s="20">
        <v>6</v>
      </c>
      <c r="H9" s="48"/>
      <c r="I9" s="48"/>
      <c r="J9" s="49"/>
    </row>
    <row r="10" spans="2:10" x14ac:dyDescent="0.25">
      <c r="B10" s="20">
        <v>7</v>
      </c>
      <c r="C10" s="48"/>
      <c r="D10" s="48"/>
      <c r="E10" s="49"/>
      <c r="G10" s="20">
        <v>7</v>
      </c>
      <c r="H10" s="48"/>
      <c r="I10" s="48"/>
      <c r="J10" s="49"/>
    </row>
    <row r="11" spans="2:10" x14ac:dyDescent="0.25">
      <c r="B11" s="20">
        <v>8</v>
      </c>
      <c r="C11" s="48"/>
      <c r="D11" s="48"/>
      <c r="E11" s="49"/>
      <c r="G11" s="20">
        <v>8</v>
      </c>
      <c r="H11" s="48"/>
      <c r="I11" s="48"/>
      <c r="J11" s="49"/>
    </row>
    <row r="12" spans="2:10" x14ac:dyDescent="0.25">
      <c r="B12" s="20">
        <v>9</v>
      </c>
      <c r="C12" s="48"/>
      <c r="D12" s="48"/>
      <c r="E12" s="49"/>
      <c r="G12" s="20">
        <v>9</v>
      </c>
      <c r="H12" s="48"/>
      <c r="I12" s="48"/>
      <c r="J12" s="49"/>
    </row>
    <row r="13" spans="2:10" x14ac:dyDescent="0.25">
      <c r="B13" s="20">
        <v>10</v>
      </c>
      <c r="C13" s="48"/>
      <c r="D13" s="48"/>
      <c r="E13" s="49"/>
      <c r="G13" s="20">
        <v>10</v>
      </c>
      <c r="H13" s="48"/>
      <c r="I13" s="48"/>
      <c r="J13" s="49"/>
    </row>
    <row r="14" spans="2:10" x14ac:dyDescent="0.25">
      <c r="B14" s="20">
        <v>11</v>
      </c>
      <c r="C14" s="48"/>
      <c r="D14" s="48"/>
      <c r="E14" s="49"/>
      <c r="G14" s="20">
        <v>11</v>
      </c>
      <c r="H14" s="48"/>
      <c r="I14" s="48"/>
      <c r="J14" s="49"/>
    </row>
    <row r="15" spans="2:10" x14ac:dyDescent="0.25">
      <c r="B15" s="20">
        <v>12</v>
      </c>
      <c r="C15" s="48"/>
      <c r="D15" s="48"/>
      <c r="E15" s="49"/>
      <c r="G15" s="20">
        <v>12</v>
      </c>
      <c r="H15" s="48"/>
      <c r="I15" s="48"/>
      <c r="J15" s="49"/>
    </row>
    <row r="16" spans="2:10" x14ac:dyDescent="0.25">
      <c r="B16" s="20">
        <v>13</v>
      </c>
      <c r="C16" s="48"/>
      <c r="D16" s="48"/>
      <c r="E16" s="49"/>
      <c r="G16" s="20">
        <v>13</v>
      </c>
      <c r="H16" s="48"/>
      <c r="I16" s="48"/>
      <c r="J16" s="49"/>
    </row>
    <row r="17" spans="2:10" x14ac:dyDescent="0.25">
      <c r="B17" s="20">
        <v>14</v>
      </c>
      <c r="C17" s="48"/>
      <c r="D17" s="48"/>
      <c r="E17" s="49"/>
      <c r="G17" s="20">
        <v>14</v>
      </c>
      <c r="H17" s="48"/>
      <c r="I17" s="48"/>
      <c r="J17" s="49"/>
    </row>
    <row r="18" spans="2:10" x14ac:dyDescent="0.25">
      <c r="B18" s="20">
        <v>15</v>
      </c>
      <c r="C18" s="48"/>
      <c r="D18" s="48"/>
      <c r="E18" s="49"/>
      <c r="G18" s="20">
        <v>15</v>
      </c>
      <c r="H18" s="48"/>
      <c r="I18" s="48"/>
      <c r="J18" s="49"/>
    </row>
    <row r="19" spans="2:10" x14ac:dyDescent="0.25">
      <c r="B19" s="20">
        <v>16</v>
      </c>
      <c r="C19" s="48"/>
      <c r="D19" s="48"/>
      <c r="E19" s="49"/>
      <c r="G19" s="20">
        <v>16</v>
      </c>
      <c r="H19" s="48"/>
      <c r="I19" s="48"/>
      <c r="J19" s="49"/>
    </row>
    <row r="20" spans="2:10" x14ac:dyDescent="0.25">
      <c r="B20" s="20">
        <v>17</v>
      </c>
      <c r="C20" s="48"/>
      <c r="D20" s="48"/>
      <c r="E20" s="49"/>
      <c r="G20" s="20">
        <v>17</v>
      </c>
      <c r="H20" s="48"/>
      <c r="I20" s="48"/>
      <c r="J20" s="49"/>
    </row>
    <row r="21" spans="2:10" x14ac:dyDescent="0.25">
      <c r="B21" s="20">
        <v>18</v>
      </c>
      <c r="C21" s="48"/>
      <c r="D21" s="48"/>
      <c r="E21" s="49"/>
      <c r="G21" s="20">
        <v>18</v>
      </c>
      <c r="H21" s="48"/>
      <c r="I21" s="48"/>
      <c r="J21" s="49"/>
    </row>
    <row r="22" spans="2:10" x14ac:dyDescent="0.25">
      <c r="B22" s="20">
        <v>19</v>
      </c>
      <c r="C22" s="48"/>
      <c r="D22" s="48"/>
      <c r="E22" s="49"/>
      <c r="G22" s="20">
        <v>19</v>
      </c>
      <c r="H22" s="48"/>
      <c r="I22" s="48"/>
      <c r="J22" s="49"/>
    </row>
    <row r="23" spans="2:10" ht="15.75" thickBot="1" x14ac:dyDescent="0.3">
      <c r="B23" s="23">
        <v>20</v>
      </c>
      <c r="C23" s="50"/>
      <c r="D23" s="50"/>
      <c r="E23" s="51"/>
      <c r="G23" s="23">
        <v>20</v>
      </c>
      <c r="H23" s="50"/>
      <c r="I23" s="50"/>
      <c r="J23" s="51"/>
    </row>
    <row r="24" spans="2:10" ht="15.75" thickBot="1" x14ac:dyDescent="0.3"/>
    <row r="25" spans="2:10" x14ac:dyDescent="0.25">
      <c r="B25" s="65" t="s">
        <v>60</v>
      </c>
      <c r="C25" s="66"/>
      <c r="D25" s="66"/>
      <c r="E25" s="66"/>
      <c r="F25" s="66"/>
      <c r="G25" s="66"/>
      <c r="H25" s="67"/>
    </row>
    <row r="26" spans="2:10" x14ac:dyDescent="0.25">
      <c r="B26" s="76" t="s">
        <v>45</v>
      </c>
      <c r="C26" s="78" t="s">
        <v>61</v>
      </c>
      <c r="D26" s="79"/>
      <c r="E26" s="78" t="s">
        <v>62</v>
      </c>
      <c r="F26" s="79"/>
      <c r="G26" s="78" t="s">
        <v>63</v>
      </c>
      <c r="H26" s="80"/>
    </row>
    <row r="27" spans="2:10" x14ac:dyDescent="0.25">
      <c r="B27" s="77"/>
      <c r="C27" s="45" t="s">
        <v>64</v>
      </c>
      <c r="D27" s="45" t="s">
        <v>11</v>
      </c>
      <c r="E27" s="45" t="s">
        <v>64</v>
      </c>
      <c r="F27" s="45" t="s">
        <v>11</v>
      </c>
      <c r="G27" s="45" t="s">
        <v>64</v>
      </c>
      <c r="H27" s="46" t="s">
        <v>11</v>
      </c>
    </row>
    <row r="28" spans="2:10" x14ac:dyDescent="0.25">
      <c r="B28" s="20">
        <v>1</v>
      </c>
      <c r="C28" s="55">
        <v>19.393929043598376</v>
      </c>
      <c r="D28" s="55">
        <v>19.39392904359838</v>
      </c>
      <c r="E28" s="55">
        <v>48.975000000000506</v>
      </c>
      <c r="F28" s="62">
        <v>5.1277830540357885E-13</v>
      </c>
      <c r="G28" s="56">
        <v>-124.09238284106326</v>
      </c>
      <c r="H28" s="57">
        <v>21.257617158939816</v>
      </c>
    </row>
    <row r="29" spans="2:10" x14ac:dyDescent="0.25">
      <c r="B29" s="20">
        <v>2</v>
      </c>
      <c r="C29" s="59">
        <v>0</v>
      </c>
      <c r="D29" s="59">
        <v>0</v>
      </c>
      <c r="E29" s="55">
        <v>19.393929043598384</v>
      </c>
      <c r="F29" s="55">
        <v>-77.906070956401607</v>
      </c>
      <c r="G29" s="55">
        <v>21.257617158939819</v>
      </c>
      <c r="H29" s="60">
        <v>0</v>
      </c>
    </row>
    <row r="30" spans="2:10" x14ac:dyDescent="0.25">
      <c r="B30" s="20">
        <v>3</v>
      </c>
      <c r="C30" s="48"/>
      <c r="D30" s="48"/>
      <c r="E30" s="48"/>
      <c r="F30" s="48"/>
      <c r="G30" s="48"/>
      <c r="H30" s="49"/>
    </row>
    <row r="31" spans="2:10" x14ac:dyDescent="0.25">
      <c r="B31" s="20">
        <v>4</v>
      </c>
      <c r="C31" s="48"/>
      <c r="D31" s="48"/>
      <c r="E31" s="48"/>
      <c r="F31" s="48"/>
      <c r="G31" s="48"/>
      <c r="H31" s="49"/>
    </row>
    <row r="32" spans="2:10" x14ac:dyDescent="0.25">
      <c r="B32" s="20">
        <v>5</v>
      </c>
      <c r="C32" s="48"/>
      <c r="D32" s="48"/>
      <c r="E32" s="48"/>
      <c r="F32" s="48"/>
      <c r="G32" s="48"/>
      <c r="H32" s="49"/>
    </row>
    <row r="33" spans="2:8" x14ac:dyDescent="0.25">
      <c r="B33" s="20">
        <v>6</v>
      </c>
      <c r="C33" s="48"/>
      <c r="D33" s="48"/>
      <c r="E33" s="48"/>
      <c r="F33" s="48"/>
      <c r="G33" s="48"/>
      <c r="H33" s="49"/>
    </row>
    <row r="34" spans="2:8" x14ac:dyDescent="0.25">
      <c r="B34" s="20">
        <v>7</v>
      </c>
      <c r="C34" s="48"/>
      <c r="D34" s="48"/>
      <c r="E34" s="48"/>
      <c r="F34" s="48"/>
      <c r="G34" s="48"/>
      <c r="H34" s="49"/>
    </row>
    <row r="35" spans="2:8" x14ac:dyDescent="0.25">
      <c r="B35" s="20">
        <v>8</v>
      </c>
      <c r="C35" s="48"/>
      <c r="D35" s="48"/>
      <c r="E35" s="48"/>
      <c r="F35" s="48"/>
      <c r="G35" s="48"/>
      <c r="H35" s="49"/>
    </row>
    <row r="36" spans="2:8" x14ac:dyDescent="0.25">
      <c r="B36" s="20">
        <v>9</v>
      </c>
      <c r="C36" s="48"/>
      <c r="D36" s="48"/>
      <c r="E36" s="48"/>
      <c r="F36" s="48"/>
      <c r="G36" s="48"/>
      <c r="H36" s="49"/>
    </row>
    <row r="37" spans="2:8" x14ac:dyDescent="0.25">
      <c r="B37" s="20">
        <v>10</v>
      </c>
      <c r="C37" s="48"/>
      <c r="D37" s="48"/>
      <c r="E37" s="48"/>
      <c r="F37" s="48"/>
      <c r="G37" s="48"/>
      <c r="H37" s="49"/>
    </row>
    <row r="38" spans="2:8" x14ac:dyDescent="0.25">
      <c r="B38" s="20">
        <v>11</v>
      </c>
      <c r="C38" s="48"/>
      <c r="D38" s="48"/>
      <c r="E38" s="48"/>
      <c r="F38" s="48"/>
      <c r="G38" s="48"/>
      <c r="H38" s="49"/>
    </row>
    <row r="39" spans="2:8" x14ac:dyDescent="0.25">
      <c r="B39" s="20">
        <v>12</v>
      </c>
      <c r="C39" s="48"/>
      <c r="D39" s="48"/>
      <c r="E39" s="48"/>
      <c r="F39" s="48"/>
      <c r="G39" s="48"/>
      <c r="H39" s="49"/>
    </row>
    <row r="40" spans="2:8" x14ac:dyDescent="0.25">
      <c r="B40" s="20">
        <v>13</v>
      </c>
      <c r="C40" s="48"/>
      <c r="D40" s="48"/>
      <c r="E40" s="48"/>
      <c r="F40" s="48"/>
      <c r="G40" s="48"/>
      <c r="H40" s="49"/>
    </row>
    <row r="41" spans="2:8" x14ac:dyDescent="0.25">
      <c r="B41" s="20">
        <v>14</v>
      </c>
      <c r="C41" s="48"/>
      <c r="D41" s="48"/>
      <c r="E41" s="48"/>
      <c r="F41" s="48"/>
      <c r="G41" s="48"/>
      <c r="H41" s="49"/>
    </row>
    <row r="42" spans="2:8" x14ac:dyDescent="0.25">
      <c r="B42" s="20">
        <v>15</v>
      </c>
      <c r="C42" s="48"/>
      <c r="D42" s="48"/>
      <c r="E42" s="48"/>
      <c r="F42" s="48"/>
      <c r="G42" s="48"/>
      <c r="H42" s="49"/>
    </row>
    <row r="43" spans="2:8" x14ac:dyDescent="0.25">
      <c r="B43" s="20">
        <v>16</v>
      </c>
      <c r="C43" s="48"/>
      <c r="D43" s="48"/>
      <c r="E43" s="48"/>
      <c r="F43" s="48"/>
      <c r="G43" s="48"/>
      <c r="H43" s="49"/>
    </row>
    <row r="44" spans="2:8" x14ac:dyDescent="0.25">
      <c r="B44" s="20">
        <v>17</v>
      </c>
      <c r="C44" s="48"/>
      <c r="D44" s="48"/>
      <c r="E44" s="48"/>
      <c r="F44" s="48"/>
      <c r="G44" s="48"/>
      <c r="H44" s="49"/>
    </row>
    <row r="45" spans="2:8" x14ac:dyDescent="0.25">
      <c r="B45" s="20">
        <v>18</v>
      </c>
      <c r="C45" s="48"/>
      <c r="D45" s="48"/>
      <c r="E45" s="48"/>
      <c r="F45" s="48"/>
      <c r="G45" s="48"/>
      <c r="H45" s="49"/>
    </row>
    <row r="46" spans="2:8" x14ac:dyDescent="0.25">
      <c r="B46" s="20">
        <v>19</v>
      </c>
      <c r="C46" s="48"/>
      <c r="D46" s="48"/>
      <c r="E46" s="48"/>
      <c r="F46" s="48"/>
      <c r="G46" s="48"/>
      <c r="H46" s="49"/>
    </row>
    <row r="47" spans="2:8" ht="15.75" thickBot="1" x14ac:dyDescent="0.3">
      <c r="B47" s="23">
        <v>20</v>
      </c>
      <c r="C47" s="50"/>
      <c r="D47" s="50"/>
      <c r="E47" s="50"/>
      <c r="F47" s="50"/>
      <c r="G47" s="50"/>
      <c r="H47" s="51"/>
    </row>
    <row r="48" spans="2:8" x14ac:dyDescent="0.25"/>
  </sheetData>
  <mergeCells count="7">
    <mergeCell ref="B25:H25"/>
    <mergeCell ref="G2:J2"/>
    <mergeCell ref="B2:E2"/>
    <mergeCell ref="B26:B27"/>
    <mergeCell ref="C26:D26"/>
    <mergeCell ref="E26:F26"/>
    <mergeCell ref="G26:H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8"/>
  <sheetViews>
    <sheetView topLeftCell="A7" zoomScale="85" zoomScaleNormal="85" workbookViewId="0">
      <selection activeCell="N43" sqref="N43"/>
    </sheetView>
  </sheetViews>
  <sheetFormatPr defaultColWidth="12.42578125" defaultRowHeight="15" x14ac:dyDescent="0.25"/>
  <cols>
    <col min="1" max="16384" width="12.42578125" style="1"/>
  </cols>
  <sheetData>
    <row r="1" spans="1:22" x14ac:dyDescent="0.25">
      <c r="A1" s="31" t="s">
        <v>36</v>
      </c>
    </row>
    <row r="3" spans="1:22" x14ac:dyDescent="0.25">
      <c r="A3" s="64" t="s">
        <v>30</v>
      </c>
      <c r="B3" s="64"/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Q3" s="4" t="s">
        <v>21</v>
      </c>
      <c r="R3" s="4" t="s">
        <v>22</v>
      </c>
      <c r="S3" s="4" t="s">
        <v>23</v>
      </c>
      <c r="T3" s="4" t="s">
        <v>24</v>
      </c>
      <c r="U3" s="4" t="s">
        <v>25</v>
      </c>
      <c r="V3" s="4" t="s">
        <v>26</v>
      </c>
    </row>
    <row r="4" spans="1:22" x14ac:dyDescent="0.25">
      <c r="A4" s="1" t="s">
        <v>18</v>
      </c>
      <c r="B4" s="34">
        <v>10</v>
      </c>
      <c r="F4" s="4" t="s">
        <v>21</v>
      </c>
      <c r="G4" s="35">
        <f>B4*COS(RADIANS(B8))^2+12*B6*SIN(RADIANS(B8))^2/B7^2</f>
        <v>11.4375</v>
      </c>
      <c r="H4" s="35">
        <f>SIN(RADIANS(B8))*COS(RADIANS(B8))*(B4-12*B6/B7^2)</f>
        <v>-2.4898230358802609</v>
      </c>
      <c r="I4" s="35">
        <f>-6*B6*SIN(RADIANS(B8))/B7</f>
        <v>-15.749999999999998</v>
      </c>
      <c r="J4" s="35">
        <f>-G4</f>
        <v>-11.4375</v>
      </c>
      <c r="K4" s="35">
        <f>-H4</f>
        <v>2.4898230358802609</v>
      </c>
      <c r="L4" s="35">
        <f>I4</f>
        <v>-15.749999999999998</v>
      </c>
      <c r="P4" s="4" t="s">
        <v>21</v>
      </c>
      <c r="Q4" s="36">
        <f>G4*$N$6</f>
        <v>82921.875</v>
      </c>
      <c r="R4" s="36">
        <f t="shared" ref="R4:V9" si="0">H4*$N$6</f>
        <v>-18051.217010131892</v>
      </c>
      <c r="S4" s="36">
        <f t="shared" si="0"/>
        <v>-114187.49999999999</v>
      </c>
      <c r="T4" s="36">
        <f t="shared" si="0"/>
        <v>-82921.875</v>
      </c>
      <c r="U4" s="36">
        <f t="shared" si="0"/>
        <v>18051.217010131892</v>
      </c>
      <c r="V4" s="36">
        <f t="shared" si="0"/>
        <v>-114187.49999999999</v>
      </c>
    </row>
    <row r="5" spans="1:22" x14ac:dyDescent="0.25">
      <c r="A5" s="1" t="s">
        <v>19</v>
      </c>
      <c r="B5" s="34">
        <v>29000</v>
      </c>
      <c r="F5" s="4" t="s">
        <v>22</v>
      </c>
      <c r="G5" s="35">
        <f>H4</f>
        <v>-2.4898230358802609</v>
      </c>
      <c r="H5" s="35">
        <f>B4*SIN(RADIANS(B8))^2+12*B6*COS(RADIANS(B8))^2/B7^2</f>
        <v>14.312500000000002</v>
      </c>
      <c r="I5" s="35">
        <f>6*B6*COS(RADIANS(B8))/B7</f>
        <v>27.279800219209818</v>
      </c>
      <c r="J5" s="35">
        <f>K4</f>
        <v>2.4898230358802609</v>
      </c>
      <c r="K5" s="35">
        <f>-H5</f>
        <v>-14.312500000000002</v>
      </c>
      <c r="L5" s="35">
        <f>I5</f>
        <v>27.279800219209818</v>
      </c>
      <c r="P5" s="4" t="s">
        <v>22</v>
      </c>
      <c r="Q5" s="36">
        <f t="shared" ref="Q5:Q9" si="1">G5*$N$6</f>
        <v>-18051.217010131892</v>
      </c>
      <c r="R5" s="36">
        <f t="shared" si="0"/>
        <v>103765.62500000001</v>
      </c>
      <c r="S5" s="36">
        <f t="shared" si="0"/>
        <v>197778.55158927117</v>
      </c>
      <c r="T5" s="36">
        <f t="shared" si="0"/>
        <v>18051.217010131892</v>
      </c>
      <c r="U5" s="36">
        <f t="shared" si="0"/>
        <v>-103765.62500000001</v>
      </c>
      <c r="V5" s="36">
        <f t="shared" si="0"/>
        <v>197778.55158927117</v>
      </c>
    </row>
    <row r="6" spans="1:22" x14ac:dyDescent="0.25">
      <c r="A6" s="1" t="s">
        <v>20</v>
      </c>
      <c r="B6" s="34">
        <v>21</v>
      </c>
      <c r="E6" s="1" t="s">
        <v>27</v>
      </c>
      <c r="F6" s="4" t="s">
        <v>23</v>
      </c>
      <c r="G6" s="35">
        <f>I4</f>
        <v>-15.749999999999998</v>
      </c>
      <c r="H6" s="35">
        <f>I5</f>
        <v>27.279800219209818</v>
      </c>
      <c r="I6" s="35">
        <f>4*B6</f>
        <v>84</v>
      </c>
      <c r="J6" s="35">
        <f>-I4</f>
        <v>15.749999999999998</v>
      </c>
      <c r="K6" s="35">
        <f>-L5</f>
        <v>-27.279800219209818</v>
      </c>
      <c r="L6" s="35">
        <f>2*B6</f>
        <v>42</v>
      </c>
      <c r="M6" s="1" t="s">
        <v>28</v>
      </c>
      <c r="N6" s="36">
        <f>$B$5/$B$7</f>
        <v>7250</v>
      </c>
      <c r="O6" s="33" t="s">
        <v>29</v>
      </c>
      <c r="P6" s="4" t="s">
        <v>23</v>
      </c>
      <c r="Q6" s="36">
        <f t="shared" si="1"/>
        <v>-114187.49999999999</v>
      </c>
      <c r="R6" s="36">
        <f t="shared" si="0"/>
        <v>197778.55158927117</v>
      </c>
      <c r="S6" s="36">
        <f t="shared" si="0"/>
        <v>609000</v>
      </c>
      <c r="T6" s="36">
        <f t="shared" si="0"/>
        <v>114187.49999999999</v>
      </c>
      <c r="U6" s="36">
        <f t="shared" si="0"/>
        <v>-197778.55158927117</v>
      </c>
      <c r="V6" s="36">
        <f t="shared" si="0"/>
        <v>304500</v>
      </c>
    </row>
    <row r="7" spans="1:22" x14ac:dyDescent="0.25">
      <c r="A7" s="1" t="s">
        <v>16</v>
      </c>
      <c r="B7" s="32">
        <v>4</v>
      </c>
      <c r="F7" s="4" t="s">
        <v>24</v>
      </c>
      <c r="G7" s="35">
        <f>J4</f>
        <v>-11.4375</v>
      </c>
      <c r="H7" s="35">
        <f>J5</f>
        <v>2.4898230358802609</v>
      </c>
      <c r="I7" s="35">
        <f>J6</f>
        <v>15.749999999999998</v>
      </c>
      <c r="J7" s="35">
        <f>G4</f>
        <v>11.4375</v>
      </c>
      <c r="K7" s="35">
        <f>H4</f>
        <v>-2.4898230358802609</v>
      </c>
      <c r="L7" s="35">
        <f>J6</f>
        <v>15.749999999999998</v>
      </c>
      <c r="P7" s="4" t="s">
        <v>24</v>
      </c>
      <c r="Q7" s="36">
        <f t="shared" si="1"/>
        <v>-82921.875</v>
      </c>
      <c r="R7" s="36">
        <f t="shared" si="0"/>
        <v>18051.217010131892</v>
      </c>
      <c r="S7" s="36">
        <f t="shared" si="0"/>
        <v>114187.49999999999</v>
      </c>
      <c r="T7" s="36">
        <f t="shared" si="0"/>
        <v>82921.875</v>
      </c>
      <c r="U7" s="36">
        <f t="shared" si="0"/>
        <v>-18051.217010131892</v>
      </c>
      <c r="V7" s="36">
        <f t="shared" si="0"/>
        <v>114187.49999999999</v>
      </c>
    </row>
    <row r="8" spans="1:22" x14ac:dyDescent="0.25">
      <c r="A8" s="3" t="s">
        <v>17</v>
      </c>
      <c r="B8" s="32">
        <v>30</v>
      </c>
      <c r="F8" s="4" t="s">
        <v>25</v>
      </c>
      <c r="G8" s="35">
        <f>K4</f>
        <v>2.4898230358802609</v>
      </c>
      <c r="H8" s="35">
        <f>K5</f>
        <v>-14.312500000000002</v>
      </c>
      <c r="I8" s="35">
        <f>K6</f>
        <v>-27.279800219209818</v>
      </c>
      <c r="J8" s="35">
        <f>K7</f>
        <v>-2.4898230358802609</v>
      </c>
      <c r="K8" s="35">
        <f>H5</f>
        <v>14.312500000000002</v>
      </c>
      <c r="L8" s="35">
        <f>K6</f>
        <v>-27.279800219209818</v>
      </c>
      <c r="P8" s="4" t="s">
        <v>25</v>
      </c>
      <c r="Q8" s="36">
        <f t="shared" si="1"/>
        <v>18051.217010131892</v>
      </c>
      <c r="R8" s="36">
        <f t="shared" si="0"/>
        <v>-103765.62500000001</v>
      </c>
      <c r="S8" s="36">
        <f t="shared" si="0"/>
        <v>-197778.55158927117</v>
      </c>
      <c r="T8" s="36">
        <f t="shared" si="0"/>
        <v>-18051.217010131892</v>
      </c>
      <c r="U8" s="36">
        <f t="shared" si="0"/>
        <v>103765.62500000001</v>
      </c>
      <c r="V8" s="36">
        <f t="shared" si="0"/>
        <v>-197778.55158927117</v>
      </c>
    </row>
    <row r="9" spans="1:22" x14ac:dyDescent="0.25">
      <c r="F9" s="4" t="s">
        <v>26</v>
      </c>
      <c r="G9" s="35">
        <f>L4</f>
        <v>-15.749999999999998</v>
      </c>
      <c r="H9" s="35">
        <f>L5</f>
        <v>27.279800219209818</v>
      </c>
      <c r="I9" s="35">
        <f>L6</f>
        <v>42</v>
      </c>
      <c r="J9" s="35">
        <f>L7</f>
        <v>15.749999999999998</v>
      </c>
      <c r="K9" s="35">
        <f>L8</f>
        <v>-27.279800219209818</v>
      </c>
      <c r="L9" s="35">
        <f>I6</f>
        <v>84</v>
      </c>
      <c r="P9" s="4" t="s">
        <v>26</v>
      </c>
      <c r="Q9" s="36">
        <f t="shared" si="1"/>
        <v>-114187.49999999999</v>
      </c>
      <c r="R9" s="36">
        <f t="shared" si="0"/>
        <v>197778.55158927117</v>
      </c>
      <c r="S9" s="36">
        <f t="shared" si="0"/>
        <v>304500</v>
      </c>
      <c r="T9" s="36">
        <f t="shared" si="0"/>
        <v>114187.49999999999</v>
      </c>
      <c r="U9" s="36">
        <f t="shared" si="0"/>
        <v>-197778.55158927117</v>
      </c>
      <c r="V9" s="36">
        <f t="shared" si="0"/>
        <v>609000</v>
      </c>
    </row>
    <row r="11" spans="1:22" x14ac:dyDescent="0.25">
      <c r="G11" s="4" t="s">
        <v>21</v>
      </c>
      <c r="H11" s="4" t="s">
        <v>22</v>
      </c>
      <c r="I11" s="4" t="s">
        <v>23</v>
      </c>
      <c r="J11" s="4" t="s">
        <v>24</v>
      </c>
      <c r="K11" s="4" t="s">
        <v>25</v>
      </c>
      <c r="L11" s="4" t="s">
        <v>26</v>
      </c>
      <c r="Q11" s="4" t="s">
        <v>21</v>
      </c>
      <c r="R11" s="4" t="s">
        <v>22</v>
      </c>
      <c r="S11" s="4" t="s">
        <v>23</v>
      </c>
      <c r="T11" s="4" t="s">
        <v>24</v>
      </c>
      <c r="U11" s="4" t="s">
        <v>25</v>
      </c>
      <c r="V11" s="4" t="s">
        <v>26</v>
      </c>
    </row>
    <row r="12" spans="1:22" x14ac:dyDescent="0.25">
      <c r="F12" s="4" t="s">
        <v>21</v>
      </c>
      <c r="G12" s="35">
        <f>$B$4</f>
        <v>10</v>
      </c>
      <c r="H12" s="35">
        <v>0</v>
      </c>
      <c r="I12" s="35">
        <v>0</v>
      </c>
      <c r="J12" s="35">
        <f>-G12</f>
        <v>-10</v>
      </c>
      <c r="K12" s="35">
        <v>0</v>
      </c>
      <c r="L12" s="35">
        <v>0</v>
      </c>
      <c r="P12" s="4" t="s">
        <v>21</v>
      </c>
      <c r="Q12" s="36">
        <f>G12*$N$14</f>
        <v>72500</v>
      </c>
      <c r="R12" s="36">
        <f t="shared" ref="R12:V12" si="2">H12*$N$14</f>
        <v>0</v>
      </c>
      <c r="S12" s="36">
        <f t="shared" si="2"/>
        <v>0</v>
      </c>
      <c r="T12" s="36">
        <f t="shared" si="2"/>
        <v>-72500</v>
      </c>
      <c r="U12" s="36">
        <f t="shared" si="2"/>
        <v>0</v>
      </c>
      <c r="V12" s="36">
        <f t="shared" si="2"/>
        <v>0</v>
      </c>
    </row>
    <row r="13" spans="1:22" x14ac:dyDescent="0.25">
      <c r="F13" s="4" t="s">
        <v>22</v>
      </c>
      <c r="G13" s="35">
        <f>H12</f>
        <v>0</v>
      </c>
      <c r="H13" s="35">
        <f>12*$B$6/$B$7^2</f>
        <v>15.75</v>
      </c>
      <c r="I13" s="35">
        <f>6*$B$6/$B$7</f>
        <v>31.5</v>
      </c>
      <c r="J13" s="35">
        <f>K12</f>
        <v>0</v>
      </c>
      <c r="K13" s="35">
        <f>-H13</f>
        <v>-15.75</v>
      </c>
      <c r="L13" s="35">
        <f>I13</f>
        <v>31.5</v>
      </c>
      <c r="P13" s="4" t="s">
        <v>22</v>
      </c>
      <c r="Q13" s="36">
        <f t="shared" ref="Q13:Q17" si="3">G13*$N$14</f>
        <v>0</v>
      </c>
      <c r="R13" s="36">
        <f t="shared" ref="R13:R17" si="4">H13*$N$14</f>
        <v>114187.5</v>
      </c>
      <c r="S13" s="36">
        <f t="shared" ref="S13:S17" si="5">I13*$N$14</f>
        <v>228375</v>
      </c>
      <c r="T13" s="36">
        <f t="shared" ref="T13:T17" si="6">J13*$N$14</f>
        <v>0</v>
      </c>
      <c r="U13" s="36">
        <f t="shared" ref="U13:U17" si="7">K13*$N$14</f>
        <v>-114187.5</v>
      </c>
      <c r="V13" s="36">
        <f t="shared" ref="V13:V17" si="8">L13*$N$14</f>
        <v>228375</v>
      </c>
    </row>
    <row r="14" spans="1:22" x14ac:dyDescent="0.25">
      <c r="E14" s="1" t="s">
        <v>37</v>
      </c>
      <c r="F14" s="4" t="s">
        <v>23</v>
      </c>
      <c r="G14" s="35">
        <f>I12</f>
        <v>0</v>
      </c>
      <c r="H14" s="35">
        <f>I13</f>
        <v>31.5</v>
      </c>
      <c r="I14" s="35">
        <f>4*$B$6</f>
        <v>84</v>
      </c>
      <c r="J14" s="35">
        <f>-I12</f>
        <v>0</v>
      </c>
      <c r="K14" s="35">
        <f>-L13</f>
        <v>-31.5</v>
      </c>
      <c r="L14" s="35">
        <f>2*$B$6</f>
        <v>42</v>
      </c>
      <c r="M14" s="1" t="s">
        <v>28</v>
      </c>
      <c r="N14" s="36">
        <f>$B$5/$B$7</f>
        <v>7250</v>
      </c>
      <c r="O14" s="33" t="s">
        <v>29</v>
      </c>
      <c r="P14" s="4" t="s">
        <v>23</v>
      </c>
      <c r="Q14" s="36">
        <f t="shared" si="3"/>
        <v>0</v>
      </c>
      <c r="R14" s="36">
        <f t="shared" si="4"/>
        <v>228375</v>
      </c>
      <c r="S14" s="36">
        <f t="shared" si="5"/>
        <v>609000</v>
      </c>
      <c r="T14" s="36">
        <f t="shared" si="6"/>
        <v>0</v>
      </c>
      <c r="U14" s="36">
        <f t="shared" si="7"/>
        <v>-228375</v>
      </c>
      <c r="V14" s="36">
        <f t="shared" si="8"/>
        <v>304500</v>
      </c>
    </row>
    <row r="15" spans="1:22" x14ac:dyDescent="0.25">
      <c r="F15" s="4" t="s">
        <v>24</v>
      </c>
      <c r="G15" s="35">
        <f>J12</f>
        <v>-10</v>
      </c>
      <c r="H15" s="35">
        <f>J13</f>
        <v>0</v>
      </c>
      <c r="I15" s="35">
        <f>J14</f>
        <v>0</v>
      </c>
      <c r="J15" s="35">
        <f>G12</f>
        <v>10</v>
      </c>
      <c r="K15" s="35">
        <f>H12</f>
        <v>0</v>
      </c>
      <c r="L15" s="35">
        <f>J14</f>
        <v>0</v>
      </c>
      <c r="P15" s="4" t="s">
        <v>24</v>
      </c>
      <c r="Q15" s="36">
        <f t="shared" si="3"/>
        <v>-72500</v>
      </c>
      <c r="R15" s="36">
        <f t="shared" si="4"/>
        <v>0</v>
      </c>
      <c r="S15" s="36">
        <f t="shared" si="5"/>
        <v>0</v>
      </c>
      <c r="T15" s="36">
        <f t="shared" si="6"/>
        <v>72500</v>
      </c>
      <c r="U15" s="36">
        <f t="shared" si="7"/>
        <v>0</v>
      </c>
      <c r="V15" s="36">
        <f t="shared" si="8"/>
        <v>0</v>
      </c>
    </row>
    <row r="16" spans="1:22" x14ac:dyDescent="0.25">
      <c r="F16" s="4" t="s">
        <v>25</v>
      </c>
      <c r="G16" s="35">
        <f>K12</f>
        <v>0</v>
      </c>
      <c r="H16" s="35">
        <f>K13</f>
        <v>-15.75</v>
      </c>
      <c r="I16" s="35">
        <f>K14</f>
        <v>-31.5</v>
      </c>
      <c r="J16" s="35">
        <f>K15</f>
        <v>0</v>
      </c>
      <c r="K16" s="35">
        <f>H13</f>
        <v>15.75</v>
      </c>
      <c r="L16" s="35">
        <f>K14</f>
        <v>-31.5</v>
      </c>
      <c r="P16" s="4" t="s">
        <v>25</v>
      </c>
      <c r="Q16" s="36">
        <f t="shared" si="3"/>
        <v>0</v>
      </c>
      <c r="R16" s="36">
        <f t="shared" si="4"/>
        <v>-114187.5</v>
      </c>
      <c r="S16" s="36">
        <f t="shared" si="5"/>
        <v>-228375</v>
      </c>
      <c r="T16" s="36">
        <f t="shared" si="6"/>
        <v>0</v>
      </c>
      <c r="U16" s="36">
        <f t="shared" si="7"/>
        <v>114187.5</v>
      </c>
      <c r="V16" s="36">
        <f t="shared" si="8"/>
        <v>-228375</v>
      </c>
    </row>
    <row r="17" spans="5:22" x14ac:dyDescent="0.25">
      <c r="F17" s="4" t="s">
        <v>26</v>
      </c>
      <c r="G17" s="35">
        <f>L12</f>
        <v>0</v>
      </c>
      <c r="H17" s="35">
        <f>L13</f>
        <v>31.5</v>
      </c>
      <c r="I17" s="35">
        <f>L14</f>
        <v>42</v>
      </c>
      <c r="J17" s="35">
        <f>L15</f>
        <v>0</v>
      </c>
      <c r="K17" s="35">
        <f>L16</f>
        <v>-31.5</v>
      </c>
      <c r="L17" s="35">
        <f>I14</f>
        <v>84</v>
      </c>
      <c r="P17" s="4" t="s">
        <v>26</v>
      </c>
      <c r="Q17" s="36">
        <f t="shared" si="3"/>
        <v>0</v>
      </c>
      <c r="R17" s="36">
        <f t="shared" si="4"/>
        <v>228375</v>
      </c>
      <c r="S17" s="36">
        <f t="shared" si="5"/>
        <v>304500</v>
      </c>
      <c r="T17" s="36">
        <f t="shared" si="6"/>
        <v>0</v>
      </c>
      <c r="U17" s="36">
        <f t="shared" si="7"/>
        <v>-228375</v>
      </c>
      <c r="V17" s="36">
        <f t="shared" si="8"/>
        <v>609000</v>
      </c>
    </row>
    <row r="22" spans="5:22" x14ac:dyDescent="0.25">
      <c r="G22" s="4" t="s">
        <v>21</v>
      </c>
      <c r="H22" s="4" t="s">
        <v>22</v>
      </c>
      <c r="I22" s="4" t="s">
        <v>23</v>
      </c>
      <c r="J22" s="4" t="s">
        <v>24</v>
      </c>
      <c r="K22" s="4" t="s">
        <v>25</v>
      </c>
      <c r="L22" s="4" t="s">
        <v>26</v>
      </c>
      <c r="P22" s="4" t="s">
        <v>21</v>
      </c>
      <c r="Q22" s="4" t="s">
        <v>22</v>
      </c>
      <c r="R22" s="4" t="s">
        <v>23</v>
      </c>
      <c r="S22" s="4" t="s">
        <v>24</v>
      </c>
      <c r="T22" s="4" t="s">
        <v>25</v>
      </c>
      <c r="U22" s="4" t="s">
        <v>26</v>
      </c>
    </row>
    <row r="23" spans="5:22" x14ac:dyDescent="0.25">
      <c r="F23" s="4" t="s">
        <v>21</v>
      </c>
      <c r="G23" s="35">
        <f>C33</f>
        <v>0.86602540378443871</v>
      </c>
      <c r="H23" s="35">
        <f>C34</f>
        <v>0.49999999999999994</v>
      </c>
      <c r="I23" s="35">
        <v>0</v>
      </c>
      <c r="J23" s="35">
        <v>0</v>
      </c>
      <c r="K23" s="35">
        <v>0</v>
      </c>
      <c r="L23" s="35">
        <v>0</v>
      </c>
      <c r="O23" s="4" t="s">
        <v>21</v>
      </c>
      <c r="P23" s="35">
        <f t="array" ref="P23:U28">TRANSPOSE(G23:L28)</f>
        <v>0.86602540378443871</v>
      </c>
      <c r="Q23" s="35">
        <v>-0.49999999999999994</v>
      </c>
      <c r="R23" s="35">
        <v>0</v>
      </c>
      <c r="S23" s="35">
        <v>0</v>
      </c>
      <c r="T23" s="35">
        <v>0</v>
      </c>
      <c r="U23" s="35">
        <v>0</v>
      </c>
    </row>
    <row r="24" spans="5:22" x14ac:dyDescent="0.25">
      <c r="F24" s="4" t="s">
        <v>22</v>
      </c>
      <c r="G24" s="35">
        <f>-H23</f>
        <v>-0.49999999999999994</v>
      </c>
      <c r="H24" s="35">
        <f>G23</f>
        <v>0.86602540378443871</v>
      </c>
      <c r="I24" s="35">
        <v>0</v>
      </c>
      <c r="J24" s="35">
        <v>0</v>
      </c>
      <c r="K24" s="35">
        <v>0</v>
      </c>
      <c r="L24" s="35">
        <v>0</v>
      </c>
      <c r="O24" s="4" t="s">
        <v>22</v>
      </c>
      <c r="P24" s="35">
        <v>0.49999999999999994</v>
      </c>
      <c r="Q24" s="35">
        <v>0.86602540378443871</v>
      </c>
      <c r="R24" s="35">
        <v>0</v>
      </c>
      <c r="S24" s="35">
        <v>0</v>
      </c>
      <c r="T24" s="35">
        <v>0</v>
      </c>
      <c r="U24" s="35">
        <v>0</v>
      </c>
    </row>
    <row r="25" spans="5:22" ht="15" customHeight="1" x14ac:dyDescent="0.25">
      <c r="E25" s="1" t="s">
        <v>40</v>
      </c>
      <c r="F25" s="4" t="s">
        <v>23</v>
      </c>
      <c r="G25" s="35">
        <v>0</v>
      </c>
      <c r="H25" s="35">
        <v>0</v>
      </c>
      <c r="I25" s="35">
        <v>1</v>
      </c>
      <c r="J25" s="35">
        <f>-I23</f>
        <v>0</v>
      </c>
      <c r="K25" s="35">
        <f>-L24</f>
        <v>0</v>
      </c>
      <c r="L25" s="35">
        <v>0</v>
      </c>
      <c r="N25" s="1" t="s">
        <v>41</v>
      </c>
      <c r="O25" s="4" t="s">
        <v>23</v>
      </c>
      <c r="P25" s="35">
        <v>0</v>
      </c>
      <c r="Q25" s="35">
        <v>0</v>
      </c>
      <c r="R25" s="35">
        <v>1</v>
      </c>
      <c r="S25" s="35">
        <v>0</v>
      </c>
      <c r="T25" s="35">
        <v>0</v>
      </c>
      <c r="U25" s="35">
        <v>0</v>
      </c>
    </row>
    <row r="26" spans="5:22" x14ac:dyDescent="0.25">
      <c r="F26" s="4" t="s">
        <v>24</v>
      </c>
      <c r="G26" s="35">
        <f>J23</f>
        <v>0</v>
      </c>
      <c r="H26" s="35">
        <f>J24</f>
        <v>0</v>
      </c>
      <c r="I26" s="35">
        <f>J25</f>
        <v>0</v>
      </c>
      <c r="J26" s="35">
        <f>G23</f>
        <v>0.86602540378443871</v>
      </c>
      <c r="K26" s="35">
        <f>H23</f>
        <v>0.49999999999999994</v>
      </c>
      <c r="L26" s="35">
        <f>J25</f>
        <v>0</v>
      </c>
      <c r="O26" s="4" t="s">
        <v>24</v>
      </c>
      <c r="P26" s="35">
        <v>0</v>
      </c>
      <c r="Q26" s="35">
        <v>0</v>
      </c>
      <c r="R26" s="35">
        <v>0</v>
      </c>
      <c r="S26" s="35">
        <v>0.86602540378443871</v>
      </c>
      <c r="T26" s="35">
        <v>-0.49999999999999994</v>
      </c>
      <c r="U26" s="35">
        <v>0</v>
      </c>
    </row>
    <row r="27" spans="5:22" x14ac:dyDescent="0.25">
      <c r="F27" s="4" t="s">
        <v>25</v>
      </c>
      <c r="G27" s="35">
        <f>K23</f>
        <v>0</v>
      </c>
      <c r="H27" s="35">
        <f>K24</f>
        <v>0</v>
      </c>
      <c r="I27" s="35">
        <f>K25</f>
        <v>0</v>
      </c>
      <c r="J27" s="35">
        <f>G24</f>
        <v>-0.49999999999999994</v>
      </c>
      <c r="K27" s="35">
        <f>H24</f>
        <v>0.86602540378443871</v>
      </c>
      <c r="L27" s="35">
        <f>K25</f>
        <v>0</v>
      </c>
      <c r="O27" s="4" t="s">
        <v>25</v>
      </c>
      <c r="P27" s="35">
        <v>0</v>
      </c>
      <c r="Q27" s="35">
        <v>0</v>
      </c>
      <c r="R27" s="35">
        <v>0</v>
      </c>
      <c r="S27" s="35">
        <v>0.49999999999999994</v>
      </c>
      <c r="T27" s="35">
        <v>0.86602540378443871</v>
      </c>
      <c r="U27" s="35">
        <v>0</v>
      </c>
    </row>
    <row r="28" spans="5:22" x14ac:dyDescent="0.25">
      <c r="F28" s="4" t="s">
        <v>26</v>
      </c>
      <c r="G28" s="35">
        <f>L23</f>
        <v>0</v>
      </c>
      <c r="H28" s="35">
        <f>L24</f>
        <v>0</v>
      </c>
      <c r="I28" s="35">
        <f>L25</f>
        <v>0</v>
      </c>
      <c r="J28" s="35">
        <f>L26</f>
        <v>0</v>
      </c>
      <c r="K28" s="35">
        <f>L27</f>
        <v>0</v>
      </c>
      <c r="L28" s="35">
        <f>I25</f>
        <v>1</v>
      </c>
      <c r="O28" s="4" t="s">
        <v>26</v>
      </c>
      <c r="P28" s="35">
        <v>0</v>
      </c>
      <c r="Q28" s="35">
        <v>0</v>
      </c>
      <c r="R28" s="35">
        <v>0</v>
      </c>
      <c r="S28" s="35">
        <v>0</v>
      </c>
      <c r="T28" s="35">
        <v>0</v>
      </c>
      <c r="U28" s="35">
        <v>1</v>
      </c>
    </row>
    <row r="33" spans="1:21" x14ac:dyDescent="0.25">
      <c r="A33" s="1" t="s">
        <v>38</v>
      </c>
      <c r="B33" s="33" t="s">
        <v>29</v>
      </c>
      <c r="C33" s="37">
        <f>COS(RADIANS($B$8))</f>
        <v>0.86602540378443871</v>
      </c>
    </row>
    <row r="34" spans="1:21" x14ac:dyDescent="0.25">
      <c r="A34" s="1" t="s">
        <v>39</v>
      </c>
      <c r="B34" s="33" t="s">
        <v>29</v>
      </c>
      <c r="C34" s="37">
        <f>SIN(RADIANS($B$8))</f>
        <v>0.49999999999999994</v>
      </c>
      <c r="G34" s="4" t="s">
        <v>21</v>
      </c>
      <c r="H34" s="4" t="s">
        <v>22</v>
      </c>
      <c r="I34" s="4" t="s">
        <v>23</v>
      </c>
      <c r="J34" s="4" t="s">
        <v>24</v>
      </c>
      <c r="K34" s="4" t="s">
        <v>25</v>
      </c>
      <c r="L34" s="4" t="s">
        <v>26</v>
      </c>
    </row>
    <row r="35" spans="1:21" x14ac:dyDescent="0.25">
      <c r="F35" s="4" t="s">
        <v>21</v>
      </c>
      <c r="G35" s="36">
        <f t="array" ref="G35:L40">MMULT(MMULT(P23:U28,Q12:V17),G23:L28)</f>
        <v>82921.875</v>
      </c>
      <c r="H35" s="36">
        <v>-18051.217010131892</v>
      </c>
      <c r="I35" s="36">
        <v>-114187.49999999999</v>
      </c>
      <c r="J35" s="36">
        <v>-82921.875</v>
      </c>
      <c r="K35" s="36">
        <v>18051.217010131892</v>
      </c>
      <c r="L35" s="36">
        <v>-114187.49999999999</v>
      </c>
      <c r="P35" s="36">
        <f t="array" ref="P35:U40">MMULT(MMULT(G23:L28,G35:L40),P23:U28)</f>
        <v>72500</v>
      </c>
      <c r="Q35" s="36">
        <v>0</v>
      </c>
      <c r="R35" s="36">
        <v>0</v>
      </c>
      <c r="S35" s="36">
        <v>-72500</v>
      </c>
      <c r="T35" s="36">
        <v>0</v>
      </c>
      <c r="U35" s="36">
        <v>0</v>
      </c>
    </row>
    <row r="36" spans="1:21" x14ac:dyDescent="0.25">
      <c r="F36" s="4" t="s">
        <v>22</v>
      </c>
      <c r="G36" s="36">
        <v>-18051.217010131895</v>
      </c>
      <c r="H36" s="36">
        <v>103765.625</v>
      </c>
      <c r="I36" s="36">
        <v>197778.5515892712</v>
      </c>
      <c r="J36" s="36">
        <v>18051.217010131895</v>
      </c>
      <c r="K36" s="36">
        <v>-103765.625</v>
      </c>
      <c r="L36" s="36">
        <v>197778.5515892712</v>
      </c>
      <c r="P36" s="36">
        <v>-7.2759576141834259E-12</v>
      </c>
      <c r="Q36" s="36">
        <v>114187.50000000001</v>
      </c>
      <c r="R36" s="36">
        <v>228375</v>
      </c>
      <c r="S36" s="36">
        <v>7.2759576141834259E-12</v>
      </c>
      <c r="T36" s="36">
        <v>-114187.50000000001</v>
      </c>
      <c r="U36" s="36">
        <v>228375</v>
      </c>
    </row>
    <row r="37" spans="1:21" x14ac:dyDescent="0.25">
      <c r="E37" s="1" t="s">
        <v>27</v>
      </c>
      <c r="F37" s="4" t="s">
        <v>23</v>
      </c>
      <c r="G37" s="36">
        <v>-114187.49999999999</v>
      </c>
      <c r="H37" s="36">
        <v>197778.5515892712</v>
      </c>
      <c r="I37" s="36">
        <v>609000</v>
      </c>
      <c r="J37" s="36">
        <v>114187.49999999999</v>
      </c>
      <c r="K37" s="36">
        <v>-197778.5515892712</v>
      </c>
      <c r="L37" s="36">
        <v>304500</v>
      </c>
      <c r="P37" s="36">
        <v>0</v>
      </c>
      <c r="Q37" s="36">
        <v>228375</v>
      </c>
      <c r="R37" s="36">
        <v>609000</v>
      </c>
      <c r="S37" s="36">
        <v>0</v>
      </c>
      <c r="T37" s="36">
        <v>-228375</v>
      </c>
      <c r="U37" s="36">
        <v>304500</v>
      </c>
    </row>
    <row r="38" spans="1:21" x14ac:dyDescent="0.25">
      <c r="F38" s="4" t="s">
        <v>24</v>
      </c>
      <c r="G38" s="36">
        <v>-82921.875</v>
      </c>
      <c r="H38" s="36">
        <v>18051.217010131892</v>
      </c>
      <c r="I38" s="36">
        <v>114187.49999999999</v>
      </c>
      <c r="J38" s="36">
        <v>82921.875</v>
      </c>
      <c r="K38" s="36">
        <v>-18051.217010131892</v>
      </c>
      <c r="L38" s="36">
        <v>114187.49999999999</v>
      </c>
      <c r="P38" s="36">
        <v>-72500</v>
      </c>
      <c r="Q38" s="36">
        <v>0</v>
      </c>
      <c r="R38" s="36">
        <v>0</v>
      </c>
      <c r="S38" s="36">
        <v>72500</v>
      </c>
      <c r="T38" s="36">
        <v>0</v>
      </c>
      <c r="U38" s="36">
        <v>0</v>
      </c>
    </row>
    <row r="39" spans="1:21" x14ac:dyDescent="0.25">
      <c r="F39" s="4" t="s">
        <v>25</v>
      </c>
      <c r="G39" s="36">
        <v>18051.217010131895</v>
      </c>
      <c r="H39" s="36">
        <v>-103765.625</v>
      </c>
      <c r="I39" s="36">
        <v>-197778.5515892712</v>
      </c>
      <c r="J39" s="36">
        <v>-18051.217010131895</v>
      </c>
      <c r="K39" s="36">
        <v>103765.625</v>
      </c>
      <c r="L39" s="36">
        <v>-197778.5515892712</v>
      </c>
      <c r="P39" s="36">
        <v>7.2759576141834259E-12</v>
      </c>
      <c r="Q39" s="36">
        <v>-114187.50000000001</v>
      </c>
      <c r="R39" s="36">
        <v>-228375</v>
      </c>
      <c r="S39" s="36">
        <v>-7.2759576141834259E-12</v>
      </c>
      <c r="T39" s="36">
        <v>114187.50000000001</v>
      </c>
      <c r="U39" s="36">
        <v>-228375</v>
      </c>
    </row>
    <row r="40" spans="1:21" x14ac:dyDescent="0.25">
      <c r="F40" s="4" t="s">
        <v>26</v>
      </c>
      <c r="G40" s="36">
        <v>-114187.49999999999</v>
      </c>
      <c r="H40" s="36">
        <v>197778.5515892712</v>
      </c>
      <c r="I40" s="36">
        <v>304500</v>
      </c>
      <c r="J40" s="36">
        <v>114187.49999999999</v>
      </c>
      <c r="K40" s="36">
        <v>-197778.5515892712</v>
      </c>
      <c r="L40" s="36">
        <v>609000</v>
      </c>
      <c r="P40" s="36">
        <v>0</v>
      </c>
      <c r="Q40" s="36">
        <v>228375</v>
      </c>
      <c r="R40" s="36">
        <v>304500</v>
      </c>
      <c r="S40" s="36">
        <v>0</v>
      </c>
      <c r="T40" s="36">
        <v>-228375</v>
      </c>
      <c r="U40" s="36">
        <v>609000</v>
      </c>
    </row>
    <row r="43" spans="1:21" x14ac:dyDescent="0.25">
      <c r="G43" s="1">
        <v>10</v>
      </c>
      <c r="I43" s="1">
        <f>C33*G43-C34*G44</f>
        <v>-41.339745962155604</v>
      </c>
      <c r="K43" s="1">
        <f t="array" ref="K43:K48">MMULT(P23:U28,G43:G48)</f>
        <v>-41.339745962155604</v>
      </c>
    </row>
    <row r="44" spans="1:21" x14ac:dyDescent="0.25">
      <c r="G44" s="1">
        <v>100</v>
      </c>
      <c r="I44" s="1">
        <f>C33*G44+C34*G43</f>
        <v>91.602540378443877</v>
      </c>
      <c r="K44" s="1">
        <v>91.602540378443877</v>
      </c>
    </row>
    <row r="45" spans="1:21" x14ac:dyDescent="0.25">
      <c r="G45" s="1">
        <v>0</v>
      </c>
      <c r="I45" s="1">
        <v>0</v>
      </c>
      <c r="K45" s="1">
        <v>0</v>
      </c>
    </row>
    <row r="46" spans="1:21" x14ac:dyDescent="0.25">
      <c r="G46" s="1">
        <v>-10</v>
      </c>
      <c r="I46" s="1">
        <f>C33*G46-C34*G47</f>
        <v>-58.660254037844382</v>
      </c>
      <c r="K46" s="1">
        <v>-58.660254037844382</v>
      </c>
    </row>
    <row r="47" spans="1:21" x14ac:dyDescent="0.25">
      <c r="G47" s="1">
        <v>100</v>
      </c>
      <c r="I47" s="1">
        <f>C33*G47+C34*G46</f>
        <v>81.602540378443877</v>
      </c>
      <c r="K47" s="1">
        <v>81.602540378443877</v>
      </c>
    </row>
    <row r="48" spans="1:21" x14ac:dyDescent="0.25">
      <c r="G48" s="1">
        <v>0</v>
      </c>
      <c r="I48" s="1">
        <v>0</v>
      </c>
      <c r="K48" s="1">
        <v>0</v>
      </c>
    </row>
  </sheetData>
  <mergeCells count="1">
    <mergeCell ref="A3:B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Geometry</vt:lpstr>
      <vt:lpstr>Loading</vt:lpstr>
      <vt:lpstr>Results</vt:lpstr>
      <vt:lpstr>transformation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Beattie</dc:creator>
  <cp:lastModifiedBy>Lucas Beattie</cp:lastModifiedBy>
  <dcterms:created xsi:type="dcterms:W3CDTF">2021-09-13T17:52:47Z</dcterms:created>
  <dcterms:modified xsi:type="dcterms:W3CDTF">2021-11-05T19:15:46Z</dcterms:modified>
</cp:coreProperties>
</file>