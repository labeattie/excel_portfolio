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drawings/drawing4.xml" ContentType="application/vnd.openxmlformats-officedocument.drawing+xml"/>
  <Override PartName="/xl/slicers/slicer3.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drawings/drawing7.xml" ContentType="application/vnd.openxmlformats-officedocument.drawing+xml"/>
  <Override PartName="/xl/slicers/slicer5.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lucas-b\Documents\excel portfolio\fiverr\bakery\"/>
    </mc:Choice>
  </mc:AlternateContent>
  <bookViews>
    <workbookView xWindow="0" yWindow="0" windowWidth="28800" windowHeight="12300" activeTab="6"/>
  </bookViews>
  <sheets>
    <sheet name="Overall Data" sheetId="1" r:id="rId1"/>
    <sheet name="Previous Month Pivots" sheetId="30" state="hidden" r:id="rId2"/>
    <sheet name="Current Month Pivots" sheetId="6" state="hidden" r:id="rId3"/>
    <sheet name="Monthly Dashboard" sheetId="5" state="hidden" r:id="rId4"/>
    <sheet name="Finding View &amp; Input" sheetId="3" state="hidden" r:id="rId5"/>
    <sheet name="Overall Pivots" sheetId="34" state="hidden" r:id="rId6"/>
    <sheet name="Overall Dashboard" sheetId="33" r:id="rId7"/>
    <sheet name="Dropdown Lists" sheetId="2" r:id="rId8"/>
  </sheets>
  <definedNames>
    <definedName name="Criticality">'Dropdown Lists'!$B$3:$B$5</definedName>
    <definedName name="Finding_Status">'Dropdown Lists'!$D$3:$D$5</definedName>
    <definedName name="Months" localSheetId="1">tbl_Months[Months]</definedName>
    <definedName name="Months">tbl_Months[Months]</definedName>
    <definedName name="Plan_Status">'Dropdown Lists'!$J$3:$J$5</definedName>
    <definedName name="slc_cur_mon_crit">#N/A</definedName>
    <definedName name="slc_cur_mon_month">#N/A</definedName>
    <definedName name="slc_cur_mon_yrs">#N/A</definedName>
    <definedName name="slc_pre_mon_month">#N/A</definedName>
    <definedName name="slc_pre_mon_yrs">#N/A</definedName>
    <definedName name="Slicer_Criticality">#N/A</definedName>
    <definedName name="Slicer_Finding_Date">#N/A</definedName>
    <definedName name="Slicer_Plan_Status">#N/A</definedName>
    <definedName name="Slicer_Years">#N/A</definedName>
    <definedName name="Source">'Dropdown Lists'!$F$3:$F$5</definedName>
    <definedName name="Tech_Dependency">'Dropdown Lists'!$H$3:$H$4</definedName>
  </definedNames>
  <calcPr calcId="162913"/>
  <pivotCaches>
    <pivotCache cacheId="0" r:id="rId9"/>
  </pivotCaches>
  <extLst>
    <ext xmlns:x14="http://schemas.microsoft.com/office/spreadsheetml/2009/9/main" uri="{BBE1A952-AA13-448e-AADC-164F8A28A991}">
      <x14:slicerCaches>
        <x14:slicerCache r:id="rId10"/>
        <x14:slicerCache r:id="rId11"/>
        <x14:slicerCache r:id="rId12"/>
        <x14:slicerCache r:id="rId13"/>
        <x14:slicerCache r:id="rId14"/>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126" i="1" l="1"/>
  <c r="N126" i="1"/>
  <c r="H126" i="1"/>
  <c r="S125" i="1"/>
  <c r="N125" i="1"/>
  <c r="H125" i="1"/>
  <c r="S124" i="1"/>
  <c r="N124" i="1"/>
  <c r="H124" i="1"/>
  <c r="S123" i="1"/>
  <c r="N123" i="1"/>
  <c r="H123" i="1"/>
  <c r="S122" i="1"/>
  <c r="N122" i="1"/>
  <c r="H122" i="1"/>
  <c r="S121" i="1"/>
  <c r="N121" i="1"/>
  <c r="H121" i="1"/>
  <c r="S120" i="1"/>
  <c r="N120" i="1"/>
  <c r="H120" i="1"/>
  <c r="S119" i="1"/>
  <c r="N119" i="1"/>
  <c r="H119" i="1"/>
  <c r="S118" i="1"/>
  <c r="N118" i="1"/>
  <c r="H118" i="1"/>
  <c r="S117" i="1"/>
  <c r="N117" i="1"/>
  <c r="H117" i="1"/>
  <c r="S116" i="1"/>
  <c r="N116" i="1"/>
  <c r="H116" i="1"/>
  <c r="S115" i="1"/>
  <c r="N115" i="1"/>
  <c r="H115" i="1"/>
  <c r="S114" i="1"/>
  <c r="N114" i="1"/>
  <c r="H114" i="1"/>
  <c r="S113" i="1"/>
  <c r="N113" i="1"/>
  <c r="H113" i="1"/>
  <c r="S112" i="1"/>
  <c r="N112" i="1"/>
  <c r="H112" i="1"/>
  <c r="S111" i="1"/>
  <c r="N111" i="1"/>
  <c r="H111" i="1"/>
  <c r="S110" i="1"/>
  <c r="N110" i="1"/>
  <c r="H110" i="1"/>
  <c r="S109" i="1"/>
  <c r="N109" i="1"/>
  <c r="H109" i="1"/>
  <c r="S108" i="1"/>
  <c r="N108" i="1"/>
  <c r="H108" i="1"/>
  <c r="S107" i="1"/>
  <c r="N107" i="1"/>
  <c r="H107" i="1"/>
  <c r="S106" i="1"/>
  <c r="N106" i="1"/>
  <c r="H106" i="1"/>
  <c r="S105" i="1"/>
  <c r="N105" i="1"/>
  <c r="H105" i="1"/>
  <c r="S104" i="1"/>
  <c r="N104" i="1"/>
  <c r="H104" i="1"/>
  <c r="S103" i="1"/>
  <c r="N103" i="1"/>
  <c r="H103" i="1"/>
  <c r="S102" i="1"/>
  <c r="N102" i="1"/>
  <c r="H102" i="1"/>
  <c r="S101" i="1"/>
  <c r="N101" i="1"/>
  <c r="H101" i="1"/>
  <c r="S100" i="1"/>
  <c r="N100" i="1"/>
  <c r="H100" i="1"/>
  <c r="S99" i="1"/>
  <c r="N99" i="1"/>
  <c r="H99" i="1"/>
  <c r="S98" i="1"/>
  <c r="N98" i="1"/>
  <c r="H98" i="1"/>
  <c r="S97" i="1"/>
  <c r="N97" i="1"/>
  <c r="H97" i="1"/>
  <c r="S96" i="1"/>
  <c r="N96" i="1"/>
  <c r="H96" i="1"/>
  <c r="S95" i="1"/>
  <c r="N95" i="1"/>
  <c r="H95" i="1"/>
  <c r="S94" i="1"/>
  <c r="N94" i="1"/>
  <c r="H94" i="1"/>
  <c r="S93" i="1"/>
  <c r="N93" i="1"/>
  <c r="H93" i="1"/>
  <c r="S92" i="1"/>
  <c r="N92" i="1"/>
  <c r="H92" i="1"/>
  <c r="S91" i="1"/>
  <c r="N91" i="1"/>
  <c r="H91" i="1"/>
  <c r="S90" i="1"/>
  <c r="N90" i="1"/>
  <c r="H90" i="1"/>
  <c r="S89" i="1"/>
  <c r="N89" i="1"/>
  <c r="H89" i="1"/>
  <c r="S88" i="1"/>
  <c r="N88" i="1"/>
  <c r="H88" i="1"/>
  <c r="S87" i="1"/>
  <c r="N87" i="1"/>
  <c r="H87" i="1"/>
  <c r="S86" i="1"/>
  <c r="N86" i="1"/>
  <c r="H86" i="1"/>
  <c r="S85" i="1"/>
  <c r="N85" i="1"/>
  <c r="H85" i="1"/>
  <c r="S84" i="1"/>
  <c r="N84" i="1"/>
  <c r="H84" i="1"/>
  <c r="S83" i="1"/>
  <c r="N83" i="1"/>
  <c r="H83" i="1"/>
  <c r="S82" i="1"/>
  <c r="N82" i="1"/>
  <c r="H82" i="1"/>
  <c r="S81" i="1"/>
  <c r="N81" i="1"/>
  <c r="H81" i="1"/>
  <c r="S80" i="1"/>
  <c r="N80" i="1"/>
  <c r="H80" i="1"/>
  <c r="S79" i="1"/>
  <c r="N79" i="1"/>
  <c r="H79" i="1"/>
  <c r="S78" i="1"/>
  <c r="N78" i="1"/>
  <c r="H78" i="1"/>
  <c r="S77" i="1"/>
  <c r="N77" i="1"/>
  <c r="H77" i="1"/>
  <c r="S76" i="1"/>
  <c r="N76" i="1"/>
  <c r="H76" i="1"/>
  <c r="S75" i="1"/>
  <c r="N75" i="1"/>
  <c r="H75" i="1"/>
  <c r="S74" i="1"/>
  <c r="N74" i="1"/>
  <c r="H74" i="1"/>
  <c r="S73" i="1"/>
  <c r="N73" i="1"/>
  <c r="H73" i="1"/>
  <c r="S72" i="1"/>
  <c r="N72" i="1"/>
  <c r="H72" i="1"/>
  <c r="S71" i="1"/>
  <c r="N71" i="1"/>
  <c r="H71" i="1"/>
  <c r="S70" i="1"/>
  <c r="N70" i="1"/>
  <c r="H70" i="1"/>
  <c r="S69" i="1"/>
  <c r="N69" i="1"/>
  <c r="H69" i="1"/>
  <c r="S68" i="1"/>
  <c r="N68" i="1"/>
  <c r="H68" i="1"/>
  <c r="S67" i="1"/>
  <c r="N67" i="1"/>
  <c r="H67" i="1"/>
  <c r="S66" i="1"/>
  <c r="N66" i="1"/>
  <c r="H66" i="1"/>
  <c r="S65" i="1"/>
  <c r="N65" i="1"/>
  <c r="H65" i="1"/>
  <c r="S64" i="1"/>
  <c r="N64" i="1"/>
  <c r="H64" i="1"/>
  <c r="S63" i="1"/>
  <c r="N63" i="1"/>
  <c r="H63" i="1"/>
  <c r="S62" i="1"/>
  <c r="N62" i="1"/>
  <c r="H62" i="1"/>
  <c r="S61" i="1"/>
  <c r="N61" i="1"/>
  <c r="H61" i="1"/>
  <c r="S60" i="1"/>
  <c r="N60" i="1"/>
  <c r="H60" i="1"/>
  <c r="S59" i="1"/>
  <c r="N59" i="1"/>
  <c r="H59" i="1"/>
  <c r="S58" i="1"/>
  <c r="N58" i="1"/>
  <c r="H58" i="1"/>
  <c r="S57" i="1"/>
  <c r="N57" i="1"/>
  <c r="H57" i="1"/>
  <c r="S56" i="1"/>
  <c r="N56" i="1"/>
  <c r="H56" i="1"/>
  <c r="S55" i="1"/>
  <c r="N55" i="1"/>
  <c r="H55" i="1"/>
  <c r="S54" i="1"/>
  <c r="N54" i="1"/>
  <c r="H54" i="1"/>
  <c r="S53" i="1"/>
  <c r="N53" i="1"/>
  <c r="H53" i="1"/>
  <c r="S52" i="1"/>
  <c r="N52" i="1"/>
  <c r="H52" i="1"/>
  <c r="S51" i="1"/>
  <c r="N51" i="1"/>
  <c r="H51" i="1"/>
  <c r="S50" i="1"/>
  <c r="N50" i="1"/>
  <c r="H50" i="1"/>
  <c r="S49" i="1"/>
  <c r="N49" i="1"/>
  <c r="H49" i="1"/>
  <c r="S48" i="1"/>
  <c r="N48" i="1"/>
  <c r="H48" i="1"/>
  <c r="S47" i="1"/>
  <c r="N47" i="1"/>
  <c r="H47" i="1"/>
  <c r="S46" i="1"/>
  <c r="N46" i="1"/>
  <c r="H46" i="1"/>
  <c r="S45" i="1"/>
  <c r="N45" i="1"/>
  <c r="H45" i="1"/>
  <c r="S44" i="1"/>
  <c r="N44" i="1"/>
  <c r="H44" i="1"/>
  <c r="S43" i="1"/>
  <c r="N43" i="1"/>
  <c r="H43" i="1"/>
  <c r="S42" i="1"/>
  <c r="N42" i="1"/>
  <c r="H42" i="1"/>
  <c r="S41" i="1"/>
  <c r="N41" i="1"/>
  <c r="H41" i="1"/>
  <c r="S40" i="1"/>
  <c r="N40" i="1"/>
  <c r="H40" i="1"/>
  <c r="S39" i="1"/>
  <c r="N39" i="1"/>
  <c r="H39" i="1"/>
  <c r="S38" i="1"/>
  <c r="N38" i="1"/>
  <c r="H38" i="1"/>
  <c r="S37" i="1"/>
  <c r="N37" i="1"/>
  <c r="H37" i="1"/>
  <c r="S36" i="1"/>
  <c r="N36" i="1"/>
  <c r="H36" i="1"/>
  <c r="S35" i="1"/>
  <c r="N35" i="1"/>
  <c r="H35" i="1"/>
  <c r="S34" i="1"/>
  <c r="N34" i="1"/>
  <c r="H34" i="1"/>
  <c r="S33" i="1"/>
  <c r="N33" i="1"/>
  <c r="H33" i="1"/>
  <c r="S32" i="1"/>
  <c r="N32" i="1"/>
  <c r="H32" i="1"/>
  <c r="S31" i="1"/>
  <c r="N31" i="1"/>
  <c r="H31" i="1"/>
  <c r="S30" i="1"/>
  <c r="N30" i="1"/>
  <c r="H30" i="1"/>
  <c r="S29" i="1"/>
  <c r="N29" i="1"/>
  <c r="H29" i="1"/>
  <c r="S28" i="1"/>
  <c r="N28" i="1"/>
  <c r="H28" i="1"/>
  <c r="S27" i="1"/>
  <c r="N27" i="1"/>
  <c r="H27" i="1"/>
  <c r="S26" i="1"/>
  <c r="N26" i="1"/>
  <c r="H26" i="1"/>
  <c r="S25" i="1"/>
  <c r="N25" i="1"/>
  <c r="H25" i="1"/>
  <c r="S24" i="1"/>
  <c r="N24" i="1"/>
  <c r="H24" i="1"/>
  <c r="S23" i="1"/>
  <c r="N23" i="1"/>
  <c r="H23" i="1"/>
  <c r="S22" i="1"/>
  <c r="N22" i="1"/>
  <c r="H22" i="1"/>
  <c r="S21" i="1"/>
  <c r="N21" i="1"/>
  <c r="H21" i="1"/>
  <c r="S20" i="1"/>
  <c r="N20" i="1"/>
  <c r="H20" i="1"/>
  <c r="S19" i="1"/>
  <c r="N19" i="1"/>
  <c r="H19" i="1"/>
  <c r="S18" i="1"/>
  <c r="N18" i="1"/>
  <c r="H18" i="1"/>
  <c r="S17" i="1"/>
  <c r="N17" i="1"/>
  <c r="H17" i="1"/>
  <c r="S16" i="1"/>
  <c r="N16" i="1"/>
  <c r="H16" i="1"/>
  <c r="S15" i="1"/>
  <c r="N15" i="1"/>
  <c r="H15" i="1"/>
  <c r="S14" i="1"/>
  <c r="N14" i="1"/>
  <c r="H14" i="1"/>
  <c r="S13" i="1"/>
  <c r="N13" i="1"/>
  <c r="H13" i="1"/>
  <c r="S12" i="1"/>
  <c r="N12" i="1"/>
  <c r="H12" i="1"/>
  <c r="S11" i="1"/>
  <c r="N11" i="1"/>
  <c r="H11" i="1"/>
  <c r="S10" i="1"/>
  <c r="N10" i="1"/>
  <c r="H10" i="1"/>
  <c r="S9" i="1"/>
  <c r="N9" i="1"/>
  <c r="H9" i="1"/>
  <c r="S8" i="1"/>
  <c r="N8" i="1"/>
  <c r="H8" i="1"/>
  <c r="S7" i="1"/>
  <c r="N7" i="1"/>
  <c r="H7" i="1"/>
  <c r="H127" i="1" l="1"/>
  <c r="N127" i="1"/>
  <c r="S127" i="1"/>
  <c r="H128" i="1"/>
  <c r="N128" i="1"/>
  <c r="S128" i="1"/>
  <c r="H129" i="1"/>
  <c r="N129" i="1"/>
  <c r="S129" i="1"/>
  <c r="AA6" i="34"/>
  <c r="AA4" i="34"/>
  <c r="AA3" i="34"/>
  <c r="AA5" i="34"/>
  <c r="AA2" i="34"/>
  <c r="S5" i="6"/>
  <c r="S7" i="6"/>
  <c r="S6" i="6"/>
  <c r="U12" i="6"/>
  <c r="U11" i="6"/>
  <c r="U13" i="6"/>
  <c r="U10" i="6"/>
  <c r="R6" i="6"/>
  <c r="R7" i="6"/>
  <c r="R5" i="6"/>
  <c r="AB5" i="34" l="1"/>
  <c r="AC5" i="34" s="1"/>
  <c r="AB6" i="34"/>
  <c r="AC6" i="34" s="1"/>
  <c r="V13" i="6"/>
  <c r="W13" i="6" s="1"/>
  <c r="V11" i="6"/>
  <c r="W11" i="6" s="1"/>
  <c r="V12" i="6"/>
  <c r="W12" i="6" s="1"/>
  <c r="T5" i="6"/>
  <c r="V5" i="6" s="1"/>
  <c r="U5" i="6"/>
  <c r="W5" i="6" s="1"/>
  <c r="H130" i="1"/>
  <c r="N130" i="1"/>
  <c r="S130" i="1"/>
  <c r="H131" i="1"/>
  <c r="N131" i="1"/>
  <c r="S131" i="1"/>
  <c r="H132" i="1"/>
  <c r="N132" i="1"/>
  <c r="S132" i="1"/>
  <c r="H133" i="1"/>
  <c r="N133" i="1"/>
  <c r="S133" i="1"/>
  <c r="T7" i="6"/>
  <c r="U6" i="6"/>
  <c r="T6" i="6"/>
  <c r="U7" i="6"/>
  <c r="W7" i="6" l="1"/>
  <c r="V6" i="6"/>
  <c r="W6" i="6"/>
  <c r="V7" i="6"/>
  <c r="H1121" i="1"/>
  <c r="H1120" i="1"/>
  <c r="H1119" i="1"/>
  <c r="H1118" i="1"/>
  <c r="H1117" i="1"/>
  <c r="H1116" i="1"/>
  <c r="H1115" i="1"/>
  <c r="H1114" i="1"/>
  <c r="H1113" i="1"/>
  <c r="H1112" i="1"/>
  <c r="H1111" i="1"/>
  <c r="H1110" i="1"/>
  <c r="H1109" i="1"/>
  <c r="H1108" i="1"/>
  <c r="H1107" i="1"/>
  <c r="H1106" i="1"/>
  <c r="H1105" i="1"/>
  <c r="H1104" i="1"/>
  <c r="H1103" i="1"/>
  <c r="H1102" i="1"/>
  <c r="H1101" i="1"/>
  <c r="H1100" i="1"/>
  <c r="H1099" i="1"/>
  <c r="H1098" i="1"/>
  <c r="H1097" i="1"/>
  <c r="H1096" i="1"/>
  <c r="H1095" i="1"/>
  <c r="H1094" i="1"/>
  <c r="H1093" i="1"/>
  <c r="H1092" i="1"/>
  <c r="H1091" i="1"/>
  <c r="H1090" i="1"/>
  <c r="H1089" i="1"/>
  <c r="H1088" i="1"/>
  <c r="H1087" i="1"/>
  <c r="H1086" i="1"/>
  <c r="H1085" i="1"/>
  <c r="H1084" i="1"/>
  <c r="H1083" i="1"/>
  <c r="H1082" i="1"/>
  <c r="H1081" i="1"/>
  <c r="H1080" i="1"/>
  <c r="H1079" i="1"/>
  <c r="H1078" i="1"/>
  <c r="H1077" i="1"/>
  <c r="H1076" i="1"/>
  <c r="H1075" i="1"/>
  <c r="H1074" i="1"/>
  <c r="H1073" i="1"/>
  <c r="H1072" i="1"/>
  <c r="H1071" i="1"/>
  <c r="H1070" i="1"/>
  <c r="H1069" i="1"/>
  <c r="H1068" i="1"/>
  <c r="H1067" i="1"/>
  <c r="H1066" i="1"/>
  <c r="H1065" i="1"/>
  <c r="H1064" i="1"/>
  <c r="H1063" i="1"/>
  <c r="H1062" i="1"/>
  <c r="H1061" i="1"/>
  <c r="H1060" i="1"/>
  <c r="H1059" i="1"/>
  <c r="H1058" i="1"/>
  <c r="H1057" i="1"/>
  <c r="H1056" i="1"/>
  <c r="H1055" i="1"/>
  <c r="H1054" i="1"/>
  <c r="H1053" i="1"/>
  <c r="H1052" i="1"/>
  <c r="H1051" i="1"/>
  <c r="H1050" i="1"/>
  <c r="H1049" i="1"/>
  <c r="H1048" i="1"/>
  <c r="H1047" i="1"/>
  <c r="H1046" i="1"/>
  <c r="H1045" i="1"/>
  <c r="H1044" i="1"/>
  <c r="H1043" i="1"/>
  <c r="H1042" i="1"/>
  <c r="H1041" i="1"/>
  <c r="H1040" i="1"/>
  <c r="H1039" i="1"/>
  <c r="H1038" i="1"/>
  <c r="H1037" i="1"/>
  <c r="H1036" i="1"/>
  <c r="H1035" i="1"/>
  <c r="H1034" i="1"/>
  <c r="H1033" i="1"/>
  <c r="H1032" i="1"/>
  <c r="H1031" i="1"/>
  <c r="H1030" i="1"/>
  <c r="H1029" i="1"/>
  <c r="H1028" i="1"/>
  <c r="H1027" i="1"/>
  <c r="H1026" i="1"/>
  <c r="H1025" i="1"/>
  <c r="H1024" i="1"/>
  <c r="H1023" i="1"/>
  <c r="H1022" i="1"/>
  <c r="H1021" i="1"/>
  <c r="H1020" i="1"/>
  <c r="H1019" i="1"/>
  <c r="H1018" i="1"/>
  <c r="H1017" i="1"/>
  <c r="H1016" i="1"/>
  <c r="H1015" i="1"/>
  <c r="H1014" i="1"/>
  <c r="H1013" i="1"/>
  <c r="H1012" i="1"/>
  <c r="H1011" i="1"/>
  <c r="H1010" i="1"/>
  <c r="H1009" i="1"/>
  <c r="H1008" i="1"/>
  <c r="H1007" i="1"/>
  <c r="H1006" i="1"/>
  <c r="H1005" i="1"/>
  <c r="H1004" i="1"/>
  <c r="H1003" i="1"/>
  <c r="H1002" i="1"/>
  <c r="H1001" i="1"/>
  <c r="H1000" i="1"/>
  <c r="H999" i="1"/>
  <c r="H998" i="1"/>
  <c r="H997" i="1"/>
  <c r="H996" i="1"/>
  <c r="H995" i="1"/>
  <c r="H994" i="1"/>
  <c r="H993" i="1"/>
  <c r="H992" i="1"/>
  <c r="H991" i="1"/>
  <c r="H990" i="1"/>
  <c r="H989" i="1"/>
  <c r="H988" i="1"/>
  <c r="H987" i="1"/>
  <c r="H986" i="1"/>
  <c r="H985" i="1"/>
  <c r="H984" i="1"/>
  <c r="H983" i="1"/>
  <c r="H982" i="1"/>
  <c r="H981" i="1"/>
  <c r="H980" i="1"/>
  <c r="H979" i="1"/>
  <c r="H978" i="1"/>
  <c r="H977" i="1"/>
  <c r="H976" i="1"/>
  <c r="H975" i="1"/>
  <c r="H974" i="1"/>
  <c r="H973" i="1"/>
  <c r="H972" i="1"/>
  <c r="H971" i="1"/>
  <c r="H970" i="1"/>
  <c r="H969" i="1"/>
  <c r="H968" i="1"/>
  <c r="H967" i="1"/>
  <c r="H966" i="1"/>
  <c r="H965" i="1"/>
  <c r="H964" i="1"/>
  <c r="H963" i="1"/>
  <c r="H962" i="1"/>
  <c r="H961" i="1"/>
  <c r="H960" i="1"/>
  <c r="H959" i="1"/>
  <c r="H958" i="1"/>
  <c r="H957" i="1"/>
  <c r="H956" i="1"/>
  <c r="H955" i="1"/>
  <c r="H954" i="1"/>
  <c r="H953" i="1"/>
  <c r="H952" i="1"/>
  <c r="H951" i="1"/>
  <c r="H950" i="1"/>
  <c r="H949" i="1"/>
  <c r="H948" i="1"/>
  <c r="H947" i="1"/>
  <c r="H946" i="1"/>
  <c r="H945" i="1"/>
  <c r="H944" i="1"/>
  <c r="H943" i="1"/>
  <c r="H942" i="1"/>
  <c r="H941" i="1"/>
  <c r="H940" i="1"/>
  <c r="H939" i="1"/>
  <c r="H938" i="1"/>
  <c r="H937" i="1"/>
  <c r="H936" i="1"/>
  <c r="H935" i="1"/>
  <c r="H934" i="1"/>
  <c r="H933" i="1"/>
  <c r="H932" i="1"/>
  <c r="H931" i="1"/>
  <c r="H930" i="1"/>
  <c r="H929" i="1"/>
  <c r="H928" i="1"/>
  <c r="H927" i="1"/>
  <c r="H926" i="1"/>
  <c r="H925" i="1"/>
  <c r="H924" i="1"/>
  <c r="H923" i="1"/>
  <c r="H922" i="1"/>
  <c r="H921" i="1"/>
  <c r="H920" i="1"/>
  <c r="H919" i="1"/>
  <c r="H918" i="1"/>
  <c r="H917" i="1"/>
  <c r="H916" i="1"/>
  <c r="H915" i="1"/>
  <c r="H914" i="1"/>
  <c r="H913" i="1"/>
  <c r="H912" i="1"/>
  <c r="H911" i="1"/>
  <c r="H910" i="1"/>
  <c r="H909" i="1"/>
  <c r="H908" i="1"/>
  <c r="H907" i="1"/>
  <c r="H906" i="1"/>
  <c r="H905" i="1"/>
  <c r="H904" i="1"/>
  <c r="H903" i="1"/>
  <c r="H902" i="1"/>
  <c r="H901" i="1"/>
  <c r="H900" i="1"/>
  <c r="H899" i="1"/>
  <c r="H898" i="1"/>
  <c r="H897" i="1"/>
  <c r="H896" i="1"/>
  <c r="H895" i="1"/>
  <c r="H894" i="1"/>
  <c r="H893" i="1"/>
  <c r="H892" i="1"/>
  <c r="H891" i="1"/>
  <c r="H890" i="1"/>
  <c r="H889" i="1"/>
  <c r="H888" i="1"/>
  <c r="H887" i="1"/>
  <c r="H886" i="1"/>
  <c r="H885" i="1"/>
  <c r="H884" i="1"/>
  <c r="H883" i="1"/>
  <c r="H882" i="1"/>
  <c r="H881" i="1"/>
  <c r="H880" i="1"/>
  <c r="H879" i="1"/>
  <c r="H878" i="1"/>
  <c r="H877" i="1"/>
  <c r="H876" i="1"/>
  <c r="H875" i="1"/>
  <c r="H874" i="1"/>
  <c r="H873" i="1"/>
  <c r="H872" i="1"/>
  <c r="H871" i="1"/>
  <c r="H870" i="1"/>
  <c r="H869" i="1"/>
  <c r="H868" i="1"/>
  <c r="H867" i="1"/>
  <c r="H866" i="1"/>
  <c r="H865" i="1"/>
  <c r="H864" i="1"/>
  <c r="H863" i="1"/>
  <c r="H862" i="1"/>
  <c r="H861" i="1"/>
  <c r="H860" i="1"/>
  <c r="H859" i="1"/>
  <c r="H858" i="1"/>
  <c r="H857" i="1"/>
  <c r="H856" i="1"/>
  <c r="H855" i="1"/>
  <c r="H854" i="1"/>
  <c r="H853" i="1"/>
  <c r="H852" i="1"/>
  <c r="H851" i="1"/>
  <c r="H850" i="1"/>
  <c r="H849" i="1"/>
  <c r="H848" i="1"/>
  <c r="H847" i="1"/>
  <c r="H846" i="1"/>
  <c r="H845" i="1"/>
  <c r="H844" i="1"/>
  <c r="H843" i="1"/>
  <c r="H842" i="1"/>
  <c r="H841" i="1"/>
  <c r="H840" i="1"/>
  <c r="H839" i="1"/>
  <c r="H838" i="1"/>
  <c r="H837" i="1"/>
  <c r="H836" i="1"/>
  <c r="H835" i="1"/>
  <c r="H834" i="1"/>
  <c r="H833" i="1"/>
  <c r="H832" i="1"/>
  <c r="H831" i="1"/>
  <c r="H830" i="1"/>
  <c r="H829" i="1"/>
  <c r="H828" i="1"/>
  <c r="H827" i="1"/>
  <c r="H826" i="1"/>
  <c r="H825" i="1"/>
  <c r="H824" i="1"/>
  <c r="H823" i="1"/>
  <c r="H822" i="1"/>
  <c r="H821" i="1"/>
  <c r="H820" i="1"/>
  <c r="H819" i="1"/>
  <c r="H818" i="1"/>
  <c r="H817" i="1"/>
  <c r="H816" i="1"/>
  <c r="H815" i="1"/>
  <c r="H814" i="1"/>
  <c r="H813" i="1"/>
  <c r="H812" i="1"/>
  <c r="H811" i="1"/>
  <c r="H810" i="1"/>
  <c r="H809" i="1"/>
  <c r="H808" i="1"/>
  <c r="H807" i="1"/>
  <c r="H806" i="1"/>
  <c r="H805" i="1"/>
  <c r="H804" i="1"/>
  <c r="H803" i="1"/>
  <c r="H802" i="1"/>
  <c r="H801" i="1"/>
  <c r="H800" i="1"/>
  <c r="H799" i="1"/>
  <c r="H798" i="1"/>
  <c r="H797" i="1"/>
  <c r="H796" i="1"/>
  <c r="H795" i="1"/>
  <c r="H794" i="1"/>
  <c r="H793" i="1"/>
  <c r="H792" i="1"/>
  <c r="H791" i="1"/>
  <c r="H790" i="1"/>
  <c r="H789" i="1"/>
  <c r="H788" i="1"/>
  <c r="H787" i="1"/>
  <c r="H786" i="1"/>
  <c r="H785" i="1"/>
  <c r="H784" i="1"/>
  <c r="H783" i="1"/>
  <c r="H782" i="1"/>
  <c r="H781" i="1"/>
  <c r="H780" i="1"/>
  <c r="H779" i="1"/>
  <c r="H778" i="1"/>
  <c r="H777" i="1"/>
  <c r="H776" i="1"/>
  <c r="H775" i="1"/>
  <c r="H774" i="1"/>
  <c r="H773" i="1"/>
  <c r="H772" i="1"/>
  <c r="H771" i="1"/>
  <c r="H770" i="1"/>
  <c r="H769" i="1"/>
  <c r="H768" i="1"/>
  <c r="H767" i="1"/>
  <c r="H766" i="1"/>
  <c r="H765" i="1"/>
  <c r="H764" i="1"/>
  <c r="H763" i="1"/>
  <c r="H762" i="1"/>
  <c r="H761" i="1"/>
  <c r="H760" i="1"/>
  <c r="H759" i="1"/>
  <c r="H758" i="1"/>
  <c r="H757" i="1"/>
  <c r="H756" i="1"/>
  <c r="H755" i="1"/>
  <c r="H754" i="1"/>
  <c r="H753" i="1"/>
  <c r="H752" i="1"/>
  <c r="H751" i="1"/>
  <c r="H750" i="1"/>
  <c r="H749" i="1"/>
  <c r="H748" i="1"/>
  <c r="H747" i="1"/>
  <c r="H746" i="1"/>
  <c r="H745" i="1"/>
  <c r="H744" i="1"/>
  <c r="H743" i="1"/>
  <c r="H742" i="1"/>
  <c r="H741" i="1"/>
  <c r="H740" i="1"/>
  <c r="H739" i="1"/>
  <c r="H738" i="1"/>
  <c r="H737" i="1"/>
  <c r="H736" i="1"/>
  <c r="H735" i="1"/>
  <c r="H734" i="1"/>
  <c r="H733" i="1"/>
  <c r="H732" i="1"/>
  <c r="H731" i="1"/>
  <c r="H730" i="1"/>
  <c r="H729" i="1"/>
  <c r="H728" i="1"/>
  <c r="H727" i="1"/>
  <c r="H726" i="1"/>
  <c r="H725" i="1"/>
  <c r="H724" i="1"/>
  <c r="H723" i="1"/>
  <c r="H722" i="1"/>
  <c r="H721" i="1"/>
  <c r="H720" i="1"/>
  <c r="H719" i="1"/>
  <c r="H718" i="1"/>
  <c r="H717" i="1"/>
  <c r="H716" i="1"/>
  <c r="H715" i="1"/>
  <c r="H714" i="1"/>
  <c r="H713" i="1"/>
  <c r="H712" i="1"/>
  <c r="H711" i="1"/>
  <c r="H710" i="1"/>
  <c r="H709" i="1"/>
  <c r="H708" i="1"/>
  <c r="H707" i="1"/>
  <c r="H706" i="1"/>
  <c r="H705" i="1"/>
  <c r="H704" i="1"/>
  <c r="H703" i="1"/>
  <c r="H702" i="1"/>
  <c r="H701" i="1"/>
  <c r="H700" i="1"/>
  <c r="H699" i="1"/>
  <c r="H698" i="1"/>
  <c r="H697" i="1"/>
  <c r="H696" i="1"/>
  <c r="H695" i="1"/>
  <c r="H694" i="1"/>
  <c r="H693" i="1"/>
  <c r="H692" i="1"/>
  <c r="H691" i="1"/>
  <c r="H690" i="1"/>
  <c r="H689" i="1"/>
  <c r="H688" i="1"/>
  <c r="H687" i="1"/>
  <c r="H686" i="1"/>
  <c r="H685" i="1"/>
  <c r="H684" i="1"/>
  <c r="H683" i="1"/>
  <c r="H682" i="1"/>
  <c r="H681" i="1"/>
  <c r="H680" i="1"/>
  <c r="H679" i="1"/>
  <c r="H678" i="1"/>
  <c r="H677" i="1"/>
  <c r="H676" i="1"/>
  <c r="H675" i="1"/>
  <c r="H674" i="1"/>
  <c r="H673" i="1"/>
  <c r="H672" i="1"/>
  <c r="H671" i="1"/>
  <c r="H670" i="1"/>
  <c r="H669" i="1"/>
  <c r="H668" i="1"/>
  <c r="H667" i="1"/>
  <c r="H666" i="1"/>
  <c r="H665" i="1"/>
  <c r="H664" i="1"/>
  <c r="H663" i="1"/>
  <c r="H662" i="1"/>
  <c r="H661" i="1"/>
  <c r="H660" i="1"/>
  <c r="H659" i="1"/>
  <c r="H658" i="1"/>
  <c r="H657" i="1"/>
  <c r="H656" i="1"/>
  <c r="H655" i="1"/>
  <c r="H654" i="1"/>
  <c r="H653" i="1"/>
  <c r="H652" i="1"/>
  <c r="H651" i="1"/>
  <c r="H650" i="1"/>
  <c r="H649" i="1"/>
  <c r="H648" i="1"/>
  <c r="H647" i="1"/>
  <c r="H646" i="1"/>
  <c r="H645" i="1"/>
  <c r="H644" i="1"/>
  <c r="H643" i="1"/>
  <c r="H642" i="1"/>
  <c r="H641" i="1"/>
  <c r="H640" i="1"/>
  <c r="H639" i="1"/>
  <c r="H638" i="1"/>
  <c r="H637" i="1"/>
  <c r="H636" i="1"/>
  <c r="H635" i="1"/>
  <c r="H634" i="1"/>
  <c r="H633" i="1"/>
  <c r="H632" i="1"/>
  <c r="H631" i="1"/>
  <c r="H630" i="1"/>
  <c r="H629" i="1"/>
  <c r="H628" i="1"/>
  <c r="H627" i="1"/>
  <c r="H626" i="1"/>
  <c r="H625" i="1"/>
  <c r="H624" i="1"/>
  <c r="H623" i="1"/>
  <c r="H622" i="1"/>
  <c r="H621" i="1"/>
  <c r="H620" i="1"/>
  <c r="H619" i="1"/>
  <c r="H618" i="1"/>
  <c r="H617" i="1"/>
  <c r="H616" i="1"/>
  <c r="H615" i="1"/>
  <c r="H614" i="1"/>
  <c r="H613" i="1"/>
  <c r="H612" i="1"/>
  <c r="H611" i="1"/>
  <c r="H610" i="1"/>
  <c r="H609" i="1"/>
  <c r="H608" i="1"/>
  <c r="H607" i="1"/>
  <c r="H606" i="1"/>
  <c r="H605" i="1"/>
  <c r="H604" i="1"/>
  <c r="H603" i="1"/>
  <c r="H602" i="1"/>
  <c r="H601" i="1"/>
  <c r="H600" i="1"/>
  <c r="H599" i="1"/>
  <c r="H598" i="1"/>
  <c r="H597" i="1"/>
  <c r="H596" i="1"/>
  <c r="H595" i="1"/>
  <c r="H594" i="1"/>
  <c r="H593" i="1"/>
  <c r="H592" i="1"/>
  <c r="H591" i="1"/>
  <c r="H590" i="1"/>
  <c r="H589" i="1"/>
  <c r="H588" i="1"/>
  <c r="H587" i="1"/>
  <c r="H586" i="1"/>
  <c r="H585" i="1"/>
  <c r="H584" i="1"/>
  <c r="H583" i="1"/>
  <c r="H582" i="1"/>
  <c r="H581" i="1"/>
  <c r="H580" i="1"/>
  <c r="H579" i="1"/>
  <c r="H578" i="1"/>
  <c r="H577" i="1"/>
  <c r="H576" i="1"/>
  <c r="H575" i="1"/>
  <c r="H574" i="1"/>
  <c r="H573" i="1"/>
  <c r="H572" i="1"/>
  <c r="H571" i="1"/>
  <c r="H570" i="1"/>
  <c r="H569" i="1"/>
  <c r="H568" i="1"/>
  <c r="H567" i="1"/>
  <c r="H566" i="1"/>
  <c r="H565" i="1"/>
  <c r="H564" i="1"/>
  <c r="H563" i="1"/>
  <c r="H562" i="1"/>
  <c r="H561" i="1"/>
  <c r="H560" i="1"/>
  <c r="H559" i="1"/>
  <c r="H558" i="1"/>
  <c r="H557" i="1"/>
  <c r="H556" i="1"/>
  <c r="H555" i="1"/>
  <c r="H554" i="1"/>
  <c r="H553" i="1"/>
  <c r="H552" i="1"/>
  <c r="H551" i="1"/>
  <c r="H550" i="1"/>
  <c r="H549" i="1"/>
  <c r="H548" i="1"/>
  <c r="H547" i="1"/>
  <c r="H546" i="1"/>
  <c r="H545" i="1"/>
  <c r="H544" i="1"/>
  <c r="H543" i="1"/>
  <c r="H542" i="1"/>
  <c r="H541" i="1"/>
  <c r="H540" i="1"/>
  <c r="H539" i="1"/>
  <c r="H538" i="1"/>
  <c r="H537" i="1"/>
  <c r="H536" i="1"/>
  <c r="H535" i="1"/>
  <c r="H534" i="1"/>
  <c r="H533" i="1"/>
  <c r="H532" i="1"/>
  <c r="H531" i="1"/>
  <c r="H530" i="1"/>
  <c r="H529" i="1"/>
  <c r="H528" i="1"/>
  <c r="H527" i="1"/>
  <c r="H526" i="1"/>
  <c r="H525" i="1"/>
  <c r="H524" i="1"/>
  <c r="H523" i="1"/>
  <c r="H522" i="1"/>
  <c r="H521" i="1"/>
  <c r="H520" i="1"/>
  <c r="H519" i="1"/>
  <c r="H518" i="1"/>
  <c r="H517" i="1"/>
  <c r="H516" i="1"/>
  <c r="H515" i="1"/>
  <c r="H514" i="1"/>
  <c r="H513" i="1"/>
  <c r="H512" i="1"/>
  <c r="H511" i="1"/>
  <c r="H510" i="1"/>
  <c r="H509" i="1"/>
  <c r="H508" i="1"/>
  <c r="H507" i="1"/>
  <c r="H506" i="1"/>
  <c r="H505" i="1"/>
  <c r="H504" i="1"/>
  <c r="H503" i="1"/>
  <c r="H502" i="1"/>
  <c r="H501" i="1"/>
  <c r="H500" i="1"/>
  <c r="H499" i="1"/>
  <c r="H498" i="1"/>
  <c r="H497" i="1"/>
  <c r="H496" i="1"/>
  <c r="H495" i="1"/>
  <c r="H494" i="1"/>
  <c r="H493" i="1"/>
  <c r="H492" i="1"/>
  <c r="H491" i="1"/>
  <c r="H490" i="1"/>
  <c r="H489" i="1"/>
  <c r="H488" i="1"/>
  <c r="H487" i="1"/>
  <c r="H486" i="1"/>
  <c r="H485" i="1"/>
  <c r="H484" i="1"/>
  <c r="H483" i="1"/>
  <c r="H482" i="1"/>
  <c r="H481" i="1"/>
  <c r="H480" i="1"/>
  <c r="H479" i="1"/>
  <c r="H478" i="1"/>
  <c r="H477" i="1"/>
  <c r="H476" i="1"/>
  <c r="H475" i="1"/>
  <c r="H474" i="1"/>
  <c r="H473" i="1"/>
  <c r="H472" i="1"/>
  <c r="H471" i="1"/>
  <c r="H470" i="1"/>
  <c r="H469" i="1"/>
  <c r="H468" i="1"/>
  <c r="H467" i="1"/>
  <c r="H466" i="1"/>
  <c r="H465" i="1"/>
  <c r="H464" i="1"/>
  <c r="H463" i="1"/>
  <c r="H462" i="1"/>
  <c r="H461" i="1"/>
  <c r="H460" i="1"/>
  <c r="H459" i="1"/>
  <c r="H458" i="1"/>
  <c r="H457" i="1"/>
  <c r="H456" i="1"/>
  <c r="H455" i="1"/>
  <c r="H454" i="1"/>
  <c r="H453" i="1"/>
  <c r="H452" i="1"/>
  <c r="H451" i="1"/>
  <c r="H450" i="1"/>
  <c r="H449" i="1"/>
  <c r="H448" i="1"/>
  <c r="H447" i="1"/>
  <c r="H446" i="1"/>
  <c r="H445" i="1"/>
  <c r="H444" i="1"/>
  <c r="H443" i="1"/>
  <c r="H442" i="1"/>
  <c r="H441" i="1"/>
  <c r="H440" i="1"/>
  <c r="H439" i="1"/>
  <c r="H438" i="1"/>
  <c r="H437" i="1"/>
  <c r="H436" i="1"/>
  <c r="H435" i="1"/>
  <c r="H434" i="1"/>
  <c r="H433" i="1"/>
  <c r="H432" i="1"/>
  <c r="H431" i="1"/>
  <c r="H430" i="1"/>
  <c r="H429" i="1"/>
  <c r="H428" i="1"/>
  <c r="H427" i="1"/>
  <c r="H426" i="1"/>
  <c r="H425" i="1"/>
  <c r="H424" i="1"/>
  <c r="H423" i="1"/>
  <c r="H422" i="1"/>
  <c r="H421" i="1"/>
  <c r="H420" i="1"/>
  <c r="H419" i="1"/>
  <c r="H418" i="1"/>
  <c r="H417" i="1"/>
  <c r="H416" i="1"/>
  <c r="H415" i="1"/>
  <c r="H414" i="1"/>
  <c r="H413" i="1"/>
  <c r="H412" i="1"/>
  <c r="H411" i="1"/>
  <c r="H410" i="1"/>
  <c r="H409" i="1"/>
  <c r="H408" i="1"/>
  <c r="H407" i="1"/>
  <c r="H406" i="1"/>
  <c r="H405" i="1"/>
  <c r="H404" i="1"/>
  <c r="H403" i="1"/>
  <c r="H402" i="1"/>
  <c r="H401" i="1"/>
  <c r="H400" i="1"/>
  <c r="H399" i="1"/>
  <c r="H398" i="1"/>
  <c r="H397" i="1"/>
  <c r="H396" i="1"/>
  <c r="H395" i="1"/>
  <c r="H394" i="1"/>
  <c r="H393" i="1"/>
  <c r="H392" i="1"/>
  <c r="H391" i="1"/>
  <c r="H390" i="1"/>
  <c r="H389" i="1"/>
  <c r="H388" i="1"/>
  <c r="H387" i="1"/>
  <c r="H386" i="1"/>
  <c r="H385" i="1"/>
  <c r="H384" i="1"/>
  <c r="H383" i="1"/>
  <c r="H382" i="1"/>
  <c r="H381" i="1"/>
  <c r="H380" i="1"/>
  <c r="H379" i="1"/>
  <c r="H378" i="1"/>
  <c r="H377" i="1"/>
  <c r="H376" i="1"/>
  <c r="H375" i="1"/>
  <c r="H374" i="1"/>
  <c r="H373" i="1"/>
  <c r="H372" i="1"/>
  <c r="H371" i="1"/>
  <c r="H370" i="1"/>
  <c r="H369" i="1"/>
  <c r="H368" i="1"/>
  <c r="H367" i="1"/>
  <c r="H366" i="1"/>
  <c r="H365" i="1"/>
  <c r="H364" i="1"/>
  <c r="H363" i="1"/>
  <c r="H362" i="1"/>
  <c r="H361" i="1"/>
  <c r="H360" i="1"/>
  <c r="H359" i="1"/>
  <c r="H358" i="1"/>
  <c r="H357" i="1"/>
  <c r="H356" i="1"/>
  <c r="H355" i="1"/>
  <c r="H354" i="1"/>
  <c r="H353" i="1"/>
  <c r="H352" i="1"/>
  <c r="H351" i="1"/>
  <c r="H350" i="1"/>
  <c r="H349" i="1"/>
  <c r="H348" i="1"/>
  <c r="H347" i="1"/>
  <c r="H346" i="1"/>
  <c r="H345" i="1"/>
  <c r="H344" i="1"/>
  <c r="H343" i="1"/>
  <c r="H342" i="1"/>
  <c r="H341" i="1"/>
  <c r="H340" i="1"/>
  <c r="H339" i="1"/>
  <c r="H338" i="1"/>
  <c r="H337" i="1"/>
  <c r="H336" i="1"/>
  <c r="H335" i="1"/>
  <c r="H334" i="1"/>
  <c r="H333" i="1"/>
  <c r="H332" i="1"/>
  <c r="H331" i="1"/>
  <c r="H330" i="1"/>
  <c r="H329" i="1"/>
  <c r="H328" i="1"/>
  <c r="H327" i="1"/>
  <c r="H326" i="1"/>
  <c r="H325" i="1"/>
  <c r="H324" i="1"/>
  <c r="H323" i="1"/>
  <c r="H322" i="1"/>
  <c r="H321" i="1"/>
  <c r="H320" i="1"/>
  <c r="H319" i="1"/>
  <c r="H318" i="1"/>
  <c r="H317" i="1"/>
  <c r="H316" i="1"/>
  <c r="H315" i="1"/>
  <c r="H314" i="1"/>
  <c r="H313" i="1"/>
  <c r="H312" i="1"/>
  <c r="H311" i="1"/>
  <c r="H310" i="1"/>
  <c r="H309" i="1"/>
  <c r="H308" i="1"/>
  <c r="H307" i="1"/>
  <c r="H306" i="1"/>
  <c r="H305" i="1"/>
  <c r="H304" i="1"/>
  <c r="H303" i="1"/>
  <c r="H302" i="1"/>
  <c r="H301" i="1"/>
  <c r="H300" i="1"/>
  <c r="H299" i="1"/>
  <c r="H298" i="1"/>
  <c r="H297" i="1"/>
  <c r="H296" i="1"/>
  <c r="H295" i="1"/>
  <c r="H294" i="1"/>
  <c r="H293" i="1"/>
  <c r="H292" i="1"/>
  <c r="H291" i="1"/>
  <c r="H290" i="1"/>
  <c r="H289" i="1"/>
  <c r="H288" i="1"/>
  <c r="H287" i="1"/>
  <c r="H286" i="1"/>
  <c r="H285" i="1"/>
  <c r="H284" i="1"/>
  <c r="H283" i="1"/>
  <c r="H282" i="1"/>
  <c r="H281" i="1"/>
  <c r="H280" i="1"/>
  <c r="H279" i="1"/>
  <c r="H278" i="1"/>
  <c r="H277" i="1"/>
  <c r="H276" i="1"/>
  <c r="H275" i="1"/>
  <c r="H274" i="1"/>
  <c r="H273" i="1"/>
  <c r="H272" i="1"/>
  <c r="H271" i="1"/>
  <c r="H270" i="1"/>
  <c r="H269" i="1"/>
  <c r="H268" i="1"/>
  <c r="H267" i="1"/>
  <c r="H266" i="1"/>
  <c r="H265" i="1"/>
  <c r="H264" i="1"/>
  <c r="H263" i="1"/>
  <c r="H262" i="1"/>
  <c r="H261" i="1"/>
  <c r="H260" i="1"/>
  <c r="H259" i="1"/>
  <c r="H258" i="1"/>
  <c r="H257" i="1"/>
  <c r="H256" i="1"/>
  <c r="H255" i="1"/>
  <c r="H254" i="1"/>
  <c r="H253" i="1"/>
  <c r="H252" i="1"/>
  <c r="H251" i="1"/>
  <c r="H250" i="1"/>
  <c r="H249" i="1"/>
  <c r="H248" i="1"/>
  <c r="H247" i="1"/>
  <c r="H246" i="1"/>
  <c r="H245" i="1"/>
  <c r="H244" i="1"/>
  <c r="H243" i="1"/>
  <c r="H242" i="1"/>
  <c r="H241" i="1"/>
  <c r="H240" i="1"/>
  <c r="H239" i="1"/>
  <c r="H238" i="1"/>
  <c r="H237" i="1"/>
  <c r="H236" i="1"/>
  <c r="H235" i="1"/>
  <c r="H234" i="1"/>
  <c r="H233" i="1"/>
  <c r="H232" i="1"/>
  <c r="H231" i="1"/>
  <c r="H230" i="1"/>
  <c r="H229" i="1"/>
  <c r="H228" i="1"/>
  <c r="H227" i="1"/>
  <c r="H226" i="1"/>
  <c r="H225" i="1"/>
  <c r="H224" i="1"/>
  <c r="H223" i="1"/>
  <c r="H222" i="1"/>
  <c r="H221" i="1"/>
  <c r="H220" i="1"/>
  <c r="H219" i="1"/>
  <c r="H218" i="1"/>
  <c r="H217" i="1"/>
  <c r="H216"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S1121" i="1"/>
  <c r="S1120" i="1"/>
  <c r="S1119" i="1"/>
  <c r="S1118" i="1"/>
  <c r="S1117" i="1"/>
  <c r="S1116" i="1"/>
  <c r="S1115" i="1"/>
  <c r="S1114" i="1"/>
  <c r="S1113" i="1"/>
  <c r="S1112" i="1"/>
  <c r="S1111" i="1"/>
  <c r="S1110" i="1"/>
  <c r="S1109" i="1"/>
  <c r="S1108" i="1"/>
  <c r="S1107" i="1"/>
  <c r="S1106" i="1"/>
  <c r="S1105" i="1"/>
  <c r="S1104" i="1"/>
  <c r="S1103" i="1"/>
  <c r="S1102" i="1"/>
  <c r="S1101" i="1"/>
  <c r="S1100" i="1"/>
  <c r="S1099" i="1"/>
  <c r="S1098" i="1"/>
  <c r="S1097" i="1"/>
  <c r="S1096" i="1"/>
  <c r="S1095" i="1"/>
  <c r="S1094" i="1"/>
  <c r="S1093" i="1"/>
  <c r="S1092" i="1"/>
  <c r="S1091" i="1"/>
  <c r="S1090" i="1"/>
  <c r="S1089" i="1"/>
  <c r="S1088" i="1"/>
  <c r="S1087" i="1"/>
  <c r="S1086" i="1"/>
  <c r="S1085" i="1"/>
  <c r="S1084" i="1"/>
  <c r="S1083" i="1"/>
  <c r="S1082" i="1"/>
  <c r="S1081" i="1"/>
  <c r="S1080" i="1"/>
  <c r="S1079" i="1"/>
  <c r="S1078" i="1"/>
  <c r="S1077" i="1"/>
  <c r="S1076" i="1"/>
  <c r="S1075" i="1"/>
  <c r="S1074" i="1"/>
  <c r="S1073" i="1"/>
  <c r="S1072" i="1"/>
  <c r="S1071" i="1"/>
  <c r="S1070" i="1"/>
  <c r="S1069" i="1"/>
  <c r="S1068" i="1"/>
  <c r="S1067" i="1"/>
  <c r="S1066" i="1"/>
  <c r="S1065" i="1"/>
  <c r="S1064" i="1"/>
  <c r="S1063" i="1"/>
  <c r="S1062" i="1"/>
  <c r="S1061" i="1"/>
  <c r="S1060" i="1"/>
  <c r="S1059" i="1"/>
  <c r="S1058" i="1"/>
  <c r="S1057" i="1"/>
  <c r="S1056" i="1"/>
  <c r="S1055" i="1"/>
  <c r="S1054" i="1"/>
  <c r="S1053" i="1"/>
  <c r="S1052" i="1"/>
  <c r="S1051" i="1"/>
  <c r="S1050" i="1"/>
  <c r="S1049" i="1"/>
  <c r="S1048" i="1"/>
  <c r="S1047" i="1"/>
  <c r="S1046" i="1"/>
  <c r="S1045" i="1"/>
  <c r="S1044" i="1"/>
  <c r="S1043" i="1"/>
  <c r="S1042" i="1"/>
  <c r="S1041" i="1"/>
  <c r="S1040" i="1"/>
  <c r="S1039" i="1"/>
  <c r="S1038" i="1"/>
  <c r="S1037" i="1"/>
  <c r="S1036" i="1"/>
  <c r="S1035" i="1"/>
  <c r="S1034" i="1"/>
  <c r="S1033" i="1"/>
  <c r="S1032" i="1"/>
  <c r="S1031" i="1"/>
  <c r="S1030" i="1"/>
  <c r="S1029" i="1"/>
  <c r="S1028" i="1"/>
  <c r="S1027" i="1"/>
  <c r="S1026" i="1"/>
  <c r="S1025" i="1"/>
  <c r="S1024" i="1"/>
  <c r="S1023" i="1"/>
  <c r="S1022" i="1"/>
  <c r="S1021" i="1"/>
  <c r="S1020" i="1"/>
  <c r="S1019" i="1"/>
  <c r="S1018" i="1"/>
  <c r="S1017" i="1"/>
  <c r="S1016" i="1"/>
  <c r="S1015" i="1"/>
  <c r="S1014" i="1"/>
  <c r="S1013" i="1"/>
  <c r="S1012" i="1"/>
  <c r="S1011" i="1"/>
  <c r="S1010" i="1"/>
  <c r="S1009" i="1"/>
  <c r="S1008" i="1"/>
  <c r="S1007" i="1"/>
  <c r="S1006" i="1"/>
  <c r="S1005" i="1"/>
  <c r="S1004" i="1"/>
  <c r="S1003" i="1"/>
  <c r="S1002" i="1"/>
  <c r="S1001" i="1"/>
  <c r="S1000" i="1"/>
  <c r="S999" i="1"/>
  <c r="S998" i="1"/>
  <c r="S997" i="1"/>
  <c r="S996" i="1"/>
  <c r="S995" i="1"/>
  <c r="S994" i="1"/>
  <c r="S993" i="1"/>
  <c r="S992" i="1"/>
  <c r="S991" i="1"/>
  <c r="S990" i="1"/>
  <c r="S989" i="1"/>
  <c r="S988" i="1"/>
  <c r="S987" i="1"/>
  <c r="S986" i="1"/>
  <c r="S985" i="1"/>
  <c r="S984" i="1"/>
  <c r="S983" i="1"/>
  <c r="S982" i="1"/>
  <c r="S981" i="1"/>
  <c r="S980" i="1"/>
  <c r="S979" i="1"/>
  <c r="S978" i="1"/>
  <c r="S977" i="1"/>
  <c r="S976" i="1"/>
  <c r="S975" i="1"/>
  <c r="S974" i="1"/>
  <c r="S973" i="1"/>
  <c r="S972" i="1"/>
  <c r="S971" i="1"/>
  <c r="S970" i="1"/>
  <c r="S969" i="1"/>
  <c r="S968" i="1"/>
  <c r="S967" i="1"/>
  <c r="S966" i="1"/>
  <c r="S965" i="1"/>
  <c r="S964" i="1"/>
  <c r="S963" i="1"/>
  <c r="S962" i="1"/>
  <c r="S961" i="1"/>
  <c r="S960" i="1"/>
  <c r="S959" i="1"/>
  <c r="S958" i="1"/>
  <c r="S957" i="1"/>
  <c r="S956" i="1"/>
  <c r="S955" i="1"/>
  <c r="S954" i="1"/>
  <c r="S953" i="1"/>
  <c r="S952" i="1"/>
  <c r="S951" i="1"/>
  <c r="S950" i="1"/>
  <c r="S949" i="1"/>
  <c r="S948" i="1"/>
  <c r="S947" i="1"/>
  <c r="S946" i="1"/>
  <c r="S945" i="1"/>
  <c r="S944" i="1"/>
  <c r="S943" i="1"/>
  <c r="S942" i="1"/>
  <c r="S941" i="1"/>
  <c r="S940" i="1"/>
  <c r="S939" i="1"/>
  <c r="S938" i="1"/>
  <c r="S937" i="1"/>
  <c r="S936" i="1"/>
  <c r="S935" i="1"/>
  <c r="S934" i="1"/>
  <c r="S933" i="1"/>
  <c r="S932" i="1"/>
  <c r="S931" i="1"/>
  <c r="S930" i="1"/>
  <c r="S929" i="1"/>
  <c r="S928" i="1"/>
  <c r="S927" i="1"/>
  <c r="S926" i="1"/>
  <c r="S925" i="1"/>
  <c r="S924" i="1"/>
  <c r="S923" i="1"/>
  <c r="S922" i="1"/>
  <c r="S921" i="1"/>
  <c r="S920" i="1"/>
  <c r="S919" i="1"/>
  <c r="S918" i="1"/>
  <c r="S917" i="1"/>
  <c r="S916" i="1"/>
  <c r="S915" i="1"/>
  <c r="S914" i="1"/>
  <c r="S913" i="1"/>
  <c r="S912" i="1"/>
  <c r="S911" i="1"/>
  <c r="S910" i="1"/>
  <c r="S909" i="1"/>
  <c r="S908" i="1"/>
  <c r="S907" i="1"/>
  <c r="S906" i="1"/>
  <c r="S905" i="1"/>
  <c r="S904" i="1"/>
  <c r="S903" i="1"/>
  <c r="S902" i="1"/>
  <c r="S901" i="1"/>
  <c r="S900" i="1"/>
  <c r="S899" i="1"/>
  <c r="S898" i="1"/>
  <c r="S897" i="1"/>
  <c r="S896" i="1"/>
  <c r="S895" i="1"/>
  <c r="S894" i="1"/>
  <c r="S893" i="1"/>
  <c r="S892" i="1"/>
  <c r="S891" i="1"/>
  <c r="S890" i="1"/>
  <c r="S889" i="1"/>
  <c r="S888" i="1"/>
  <c r="S887" i="1"/>
  <c r="S886" i="1"/>
  <c r="S885" i="1"/>
  <c r="S884" i="1"/>
  <c r="S883" i="1"/>
  <c r="S882" i="1"/>
  <c r="S881" i="1"/>
  <c r="S880" i="1"/>
  <c r="S879" i="1"/>
  <c r="S878" i="1"/>
  <c r="S877" i="1"/>
  <c r="S876" i="1"/>
  <c r="S875" i="1"/>
  <c r="S874" i="1"/>
  <c r="S873" i="1"/>
  <c r="S872" i="1"/>
  <c r="S871" i="1"/>
  <c r="S870" i="1"/>
  <c r="S869" i="1"/>
  <c r="S868" i="1"/>
  <c r="S867" i="1"/>
  <c r="S866" i="1"/>
  <c r="S865" i="1"/>
  <c r="S864" i="1"/>
  <c r="S863" i="1"/>
  <c r="S862" i="1"/>
  <c r="S861" i="1"/>
  <c r="S860" i="1"/>
  <c r="S859" i="1"/>
  <c r="S858" i="1"/>
  <c r="S857" i="1"/>
  <c r="S856" i="1"/>
  <c r="S855" i="1"/>
  <c r="S854" i="1"/>
  <c r="S853" i="1"/>
  <c r="S852" i="1"/>
  <c r="S851" i="1"/>
  <c r="S850" i="1"/>
  <c r="S849" i="1"/>
  <c r="S848" i="1"/>
  <c r="S847" i="1"/>
  <c r="S846" i="1"/>
  <c r="S845" i="1"/>
  <c r="S844" i="1"/>
  <c r="S843" i="1"/>
  <c r="S842" i="1"/>
  <c r="S841" i="1"/>
  <c r="S840" i="1"/>
  <c r="S839" i="1"/>
  <c r="S838" i="1"/>
  <c r="S837" i="1"/>
  <c r="S836" i="1"/>
  <c r="S835" i="1"/>
  <c r="S834" i="1"/>
  <c r="S833" i="1"/>
  <c r="S832" i="1"/>
  <c r="S831" i="1"/>
  <c r="S830" i="1"/>
  <c r="S829" i="1"/>
  <c r="S828" i="1"/>
  <c r="S827" i="1"/>
  <c r="S826" i="1"/>
  <c r="S825" i="1"/>
  <c r="S824" i="1"/>
  <c r="S823" i="1"/>
  <c r="S822" i="1"/>
  <c r="S821" i="1"/>
  <c r="S820" i="1"/>
  <c r="S819" i="1"/>
  <c r="S818" i="1"/>
  <c r="S817" i="1"/>
  <c r="S816" i="1"/>
  <c r="S815" i="1"/>
  <c r="S814" i="1"/>
  <c r="S813" i="1"/>
  <c r="S812" i="1"/>
  <c r="S811" i="1"/>
  <c r="S810" i="1"/>
  <c r="S809" i="1"/>
  <c r="S808" i="1"/>
  <c r="S807" i="1"/>
  <c r="S806" i="1"/>
  <c r="S805" i="1"/>
  <c r="S804" i="1"/>
  <c r="S803" i="1"/>
  <c r="S802" i="1"/>
  <c r="S801" i="1"/>
  <c r="S800" i="1"/>
  <c r="S799" i="1"/>
  <c r="S798" i="1"/>
  <c r="S797" i="1"/>
  <c r="S796" i="1"/>
  <c r="S795" i="1"/>
  <c r="S794" i="1"/>
  <c r="S793" i="1"/>
  <c r="S792" i="1"/>
  <c r="S791" i="1"/>
  <c r="S790" i="1"/>
  <c r="S789" i="1"/>
  <c r="S788" i="1"/>
  <c r="S787" i="1"/>
  <c r="S786" i="1"/>
  <c r="S785" i="1"/>
  <c r="S784" i="1"/>
  <c r="S783" i="1"/>
  <c r="S782" i="1"/>
  <c r="S781" i="1"/>
  <c r="S780" i="1"/>
  <c r="S779" i="1"/>
  <c r="S778" i="1"/>
  <c r="S777" i="1"/>
  <c r="S776" i="1"/>
  <c r="S775" i="1"/>
  <c r="S774" i="1"/>
  <c r="S773" i="1"/>
  <c r="S772" i="1"/>
  <c r="S771" i="1"/>
  <c r="S770" i="1"/>
  <c r="S769" i="1"/>
  <c r="S768" i="1"/>
  <c r="S767" i="1"/>
  <c r="S766" i="1"/>
  <c r="S765" i="1"/>
  <c r="S764" i="1"/>
  <c r="S763" i="1"/>
  <c r="S762" i="1"/>
  <c r="S761" i="1"/>
  <c r="S760" i="1"/>
  <c r="S759" i="1"/>
  <c r="S758" i="1"/>
  <c r="S757" i="1"/>
  <c r="S756" i="1"/>
  <c r="S755" i="1"/>
  <c r="S754" i="1"/>
  <c r="S753" i="1"/>
  <c r="S752" i="1"/>
  <c r="S751" i="1"/>
  <c r="S750" i="1"/>
  <c r="S749" i="1"/>
  <c r="S748" i="1"/>
  <c r="S747" i="1"/>
  <c r="S746" i="1"/>
  <c r="S745" i="1"/>
  <c r="S744" i="1"/>
  <c r="S743" i="1"/>
  <c r="S742" i="1"/>
  <c r="S741" i="1"/>
  <c r="S740" i="1"/>
  <c r="S739" i="1"/>
  <c r="S738" i="1"/>
  <c r="S737" i="1"/>
  <c r="S736" i="1"/>
  <c r="S735" i="1"/>
  <c r="S734" i="1"/>
  <c r="S733" i="1"/>
  <c r="S732" i="1"/>
  <c r="S731" i="1"/>
  <c r="S730" i="1"/>
  <c r="S729" i="1"/>
  <c r="S728" i="1"/>
  <c r="S727" i="1"/>
  <c r="S726" i="1"/>
  <c r="S725" i="1"/>
  <c r="S724" i="1"/>
  <c r="S723" i="1"/>
  <c r="S722" i="1"/>
  <c r="S721" i="1"/>
  <c r="S720" i="1"/>
  <c r="S719" i="1"/>
  <c r="S718" i="1"/>
  <c r="S717" i="1"/>
  <c r="S716" i="1"/>
  <c r="S715" i="1"/>
  <c r="S714" i="1"/>
  <c r="S713" i="1"/>
  <c r="S712" i="1"/>
  <c r="S711" i="1"/>
  <c r="S710" i="1"/>
  <c r="S709" i="1"/>
  <c r="S708" i="1"/>
  <c r="S707" i="1"/>
  <c r="S706" i="1"/>
  <c r="S705" i="1"/>
  <c r="S704" i="1"/>
  <c r="S703" i="1"/>
  <c r="S702" i="1"/>
  <c r="S701" i="1"/>
  <c r="S700" i="1"/>
  <c r="S699" i="1"/>
  <c r="S698" i="1"/>
  <c r="S697" i="1"/>
  <c r="S696" i="1"/>
  <c r="S695" i="1"/>
  <c r="S694" i="1"/>
  <c r="S693" i="1"/>
  <c r="S692" i="1"/>
  <c r="S691" i="1"/>
  <c r="S690" i="1"/>
  <c r="S689" i="1"/>
  <c r="S688" i="1"/>
  <c r="S687" i="1"/>
  <c r="S686" i="1"/>
  <c r="S685" i="1"/>
  <c r="S684" i="1"/>
  <c r="S683" i="1"/>
  <c r="S682" i="1"/>
  <c r="S681" i="1"/>
  <c r="S680" i="1"/>
  <c r="S679" i="1"/>
  <c r="S678" i="1"/>
  <c r="S677" i="1"/>
  <c r="S676" i="1"/>
  <c r="S675" i="1"/>
  <c r="S674" i="1"/>
  <c r="S673" i="1"/>
  <c r="S672" i="1"/>
  <c r="S671" i="1"/>
  <c r="S670" i="1"/>
  <c r="S669" i="1"/>
  <c r="S668" i="1"/>
  <c r="S667" i="1"/>
  <c r="S666" i="1"/>
  <c r="S665" i="1"/>
  <c r="S664" i="1"/>
  <c r="S663" i="1"/>
  <c r="S662" i="1"/>
  <c r="S661" i="1"/>
  <c r="S660" i="1"/>
  <c r="S659" i="1"/>
  <c r="S658" i="1"/>
  <c r="S657" i="1"/>
  <c r="S656" i="1"/>
  <c r="S655" i="1"/>
  <c r="S654" i="1"/>
  <c r="S653" i="1"/>
  <c r="S652" i="1"/>
  <c r="S651" i="1"/>
  <c r="S650" i="1"/>
  <c r="S649" i="1"/>
  <c r="S648" i="1"/>
  <c r="S647" i="1"/>
  <c r="S646" i="1"/>
  <c r="S645" i="1"/>
  <c r="S644" i="1"/>
  <c r="S643" i="1"/>
  <c r="S642" i="1"/>
  <c r="S641" i="1"/>
  <c r="S640" i="1"/>
  <c r="S639" i="1"/>
  <c r="S638" i="1"/>
  <c r="S637" i="1"/>
  <c r="S636" i="1"/>
  <c r="S635" i="1"/>
  <c r="S634" i="1"/>
  <c r="S633" i="1"/>
  <c r="S632" i="1"/>
  <c r="S631" i="1"/>
  <c r="S630" i="1"/>
  <c r="S629" i="1"/>
  <c r="S628" i="1"/>
  <c r="S627" i="1"/>
  <c r="S626" i="1"/>
  <c r="S625" i="1"/>
  <c r="S624" i="1"/>
  <c r="S623" i="1"/>
  <c r="S622" i="1"/>
  <c r="S621" i="1"/>
  <c r="S620" i="1"/>
  <c r="S619" i="1"/>
  <c r="S618" i="1"/>
  <c r="S617" i="1"/>
  <c r="S616" i="1"/>
  <c r="S615" i="1"/>
  <c r="S614" i="1"/>
  <c r="S613" i="1"/>
  <c r="S612" i="1"/>
  <c r="S611" i="1"/>
  <c r="S610" i="1"/>
  <c r="S609" i="1"/>
  <c r="S608" i="1"/>
  <c r="S607" i="1"/>
  <c r="S606" i="1"/>
  <c r="S605" i="1"/>
  <c r="S604" i="1"/>
  <c r="S603" i="1"/>
  <c r="S602" i="1"/>
  <c r="S601" i="1"/>
  <c r="S600" i="1"/>
  <c r="S599" i="1"/>
  <c r="S598" i="1"/>
  <c r="S597" i="1"/>
  <c r="S596" i="1"/>
  <c r="S595" i="1"/>
  <c r="S594" i="1"/>
  <c r="S593" i="1"/>
  <c r="S592" i="1"/>
  <c r="S591" i="1"/>
  <c r="S590" i="1"/>
  <c r="S589" i="1"/>
  <c r="S588" i="1"/>
  <c r="S587" i="1"/>
  <c r="S586" i="1"/>
  <c r="S585" i="1"/>
  <c r="S584" i="1"/>
  <c r="S583" i="1"/>
  <c r="S582" i="1"/>
  <c r="S581" i="1"/>
  <c r="S580" i="1"/>
  <c r="S579" i="1"/>
  <c r="S578" i="1"/>
  <c r="S577" i="1"/>
  <c r="S576" i="1"/>
  <c r="S575" i="1"/>
  <c r="S574" i="1"/>
  <c r="S573" i="1"/>
  <c r="S572" i="1"/>
  <c r="S571" i="1"/>
  <c r="S570" i="1"/>
  <c r="S569" i="1"/>
  <c r="S568" i="1"/>
  <c r="S567" i="1"/>
  <c r="S566" i="1"/>
  <c r="S565" i="1"/>
  <c r="S564" i="1"/>
  <c r="S563" i="1"/>
  <c r="S562" i="1"/>
  <c r="S561" i="1"/>
  <c r="S560" i="1"/>
  <c r="S559" i="1"/>
  <c r="S558" i="1"/>
  <c r="S557" i="1"/>
  <c r="S556" i="1"/>
  <c r="S555" i="1"/>
  <c r="S554" i="1"/>
  <c r="S553" i="1"/>
  <c r="S552" i="1"/>
  <c r="S551" i="1"/>
  <c r="S550" i="1"/>
  <c r="S549" i="1"/>
  <c r="S548" i="1"/>
  <c r="S547" i="1"/>
  <c r="S546" i="1"/>
  <c r="S545" i="1"/>
  <c r="S544" i="1"/>
  <c r="S543" i="1"/>
  <c r="S542" i="1"/>
  <c r="S541" i="1"/>
  <c r="S540" i="1"/>
  <c r="S539" i="1"/>
  <c r="S538" i="1"/>
  <c r="S537" i="1"/>
  <c r="S536" i="1"/>
  <c r="S535" i="1"/>
  <c r="S534" i="1"/>
  <c r="S533" i="1"/>
  <c r="S532" i="1"/>
  <c r="S531" i="1"/>
  <c r="S530" i="1"/>
  <c r="S529" i="1"/>
  <c r="S528" i="1"/>
  <c r="S527" i="1"/>
  <c r="S526" i="1"/>
  <c r="S525" i="1"/>
  <c r="S524" i="1"/>
  <c r="S523" i="1"/>
  <c r="S522" i="1"/>
  <c r="S521" i="1"/>
  <c r="S520" i="1"/>
  <c r="S519" i="1"/>
  <c r="S518" i="1"/>
  <c r="S517" i="1"/>
  <c r="S516" i="1"/>
  <c r="S515" i="1"/>
  <c r="S514" i="1"/>
  <c r="S513" i="1"/>
  <c r="S512" i="1"/>
  <c r="S511" i="1"/>
  <c r="S510" i="1"/>
  <c r="S509" i="1"/>
  <c r="S508" i="1"/>
  <c r="S507" i="1"/>
  <c r="S506" i="1"/>
  <c r="S505" i="1"/>
  <c r="S504" i="1"/>
  <c r="S503" i="1"/>
  <c r="S502" i="1"/>
  <c r="S501" i="1"/>
  <c r="S500" i="1"/>
  <c r="S499" i="1"/>
  <c r="S498" i="1"/>
  <c r="S497" i="1"/>
  <c r="S496" i="1"/>
  <c r="S495" i="1"/>
  <c r="S494" i="1"/>
  <c r="S493" i="1"/>
  <c r="S492" i="1"/>
  <c r="S491" i="1"/>
  <c r="S490" i="1"/>
  <c r="S489" i="1"/>
  <c r="S488" i="1"/>
  <c r="S487" i="1"/>
  <c r="S486" i="1"/>
  <c r="S485" i="1"/>
  <c r="S484" i="1"/>
  <c r="S483" i="1"/>
  <c r="S482" i="1"/>
  <c r="S481" i="1"/>
  <c r="S480" i="1"/>
  <c r="S479" i="1"/>
  <c r="S478" i="1"/>
  <c r="S477" i="1"/>
  <c r="S476" i="1"/>
  <c r="S475" i="1"/>
  <c r="S474" i="1"/>
  <c r="S473" i="1"/>
  <c r="S472" i="1"/>
  <c r="S471" i="1"/>
  <c r="S470" i="1"/>
  <c r="S469" i="1"/>
  <c r="S468" i="1"/>
  <c r="S467" i="1"/>
  <c r="S466" i="1"/>
  <c r="S465" i="1"/>
  <c r="S464" i="1"/>
  <c r="S463" i="1"/>
  <c r="S462" i="1"/>
  <c r="S461" i="1"/>
  <c r="S460" i="1"/>
  <c r="S459" i="1"/>
  <c r="S458" i="1"/>
  <c r="S457" i="1"/>
  <c r="S456" i="1"/>
  <c r="S455" i="1"/>
  <c r="S454" i="1"/>
  <c r="S453" i="1"/>
  <c r="S452" i="1"/>
  <c r="S451" i="1"/>
  <c r="S450" i="1"/>
  <c r="S449" i="1"/>
  <c r="S448" i="1"/>
  <c r="S447" i="1"/>
  <c r="S446" i="1"/>
  <c r="S445" i="1"/>
  <c r="S444" i="1"/>
  <c r="S443" i="1"/>
  <c r="S442" i="1"/>
  <c r="S441" i="1"/>
  <c r="S440" i="1"/>
  <c r="S439" i="1"/>
  <c r="S438" i="1"/>
  <c r="S437" i="1"/>
  <c r="S436" i="1"/>
  <c r="S435" i="1"/>
  <c r="S434" i="1"/>
  <c r="S433" i="1"/>
  <c r="S432" i="1"/>
  <c r="S431" i="1"/>
  <c r="S430" i="1"/>
  <c r="S429" i="1"/>
  <c r="S428" i="1"/>
  <c r="S427" i="1"/>
  <c r="S426" i="1"/>
  <c r="S425" i="1"/>
  <c r="S424" i="1"/>
  <c r="S423" i="1"/>
  <c r="S422" i="1"/>
  <c r="S421" i="1"/>
  <c r="S420" i="1"/>
  <c r="S419" i="1"/>
  <c r="S418" i="1"/>
  <c r="S417" i="1"/>
  <c r="S416" i="1"/>
  <c r="S415" i="1"/>
  <c r="S414" i="1"/>
  <c r="S413" i="1"/>
  <c r="S412" i="1"/>
  <c r="S411" i="1"/>
  <c r="S410" i="1"/>
  <c r="S409" i="1"/>
  <c r="S408" i="1"/>
  <c r="S407" i="1"/>
  <c r="S406" i="1"/>
  <c r="S405" i="1"/>
  <c r="S404" i="1"/>
  <c r="S403" i="1"/>
  <c r="S402" i="1"/>
  <c r="S401" i="1"/>
  <c r="S400" i="1"/>
  <c r="S399" i="1"/>
  <c r="S398" i="1"/>
  <c r="S397" i="1"/>
  <c r="S396" i="1"/>
  <c r="S395" i="1"/>
  <c r="S394" i="1"/>
  <c r="S393" i="1"/>
  <c r="S392" i="1"/>
  <c r="S391" i="1"/>
  <c r="S390" i="1"/>
  <c r="S389" i="1"/>
  <c r="S388" i="1"/>
  <c r="S387" i="1"/>
  <c r="S386" i="1"/>
  <c r="S385" i="1"/>
  <c r="S384" i="1"/>
  <c r="S383" i="1"/>
  <c r="S382" i="1"/>
  <c r="S381" i="1"/>
  <c r="S380" i="1"/>
  <c r="S379" i="1"/>
  <c r="S378" i="1"/>
  <c r="S377" i="1"/>
  <c r="S376" i="1"/>
  <c r="S375" i="1"/>
  <c r="S374" i="1"/>
  <c r="S373" i="1"/>
  <c r="S372" i="1"/>
  <c r="S371" i="1"/>
  <c r="S370" i="1"/>
  <c r="S369" i="1"/>
  <c r="S368" i="1"/>
  <c r="S367" i="1"/>
  <c r="S366" i="1"/>
  <c r="S365" i="1"/>
  <c r="S364" i="1"/>
  <c r="S363" i="1"/>
  <c r="S362" i="1"/>
  <c r="S361" i="1"/>
  <c r="S360" i="1"/>
  <c r="S359" i="1"/>
  <c r="S358" i="1"/>
  <c r="S357" i="1"/>
  <c r="S356" i="1"/>
  <c r="S355" i="1"/>
  <c r="S354" i="1"/>
  <c r="S353" i="1"/>
  <c r="S352" i="1"/>
  <c r="S351" i="1"/>
  <c r="S350" i="1"/>
  <c r="S349" i="1"/>
  <c r="S348" i="1"/>
  <c r="S347" i="1"/>
  <c r="S346" i="1"/>
  <c r="S345" i="1"/>
  <c r="S344" i="1"/>
  <c r="S343" i="1"/>
  <c r="S342" i="1"/>
  <c r="S341" i="1"/>
  <c r="S340" i="1"/>
  <c r="S339" i="1"/>
  <c r="S338" i="1"/>
  <c r="S337" i="1"/>
  <c r="S336" i="1"/>
  <c r="S335" i="1"/>
  <c r="S334" i="1"/>
  <c r="S333" i="1"/>
  <c r="S332" i="1"/>
  <c r="S331" i="1"/>
  <c r="S330" i="1"/>
  <c r="S329" i="1"/>
  <c r="S328" i="1"/>
  <c r="S327" i="1"/>
  <c r="S326" i="1"/>
  <c r="S325" i="1"/>
  <c r="S324" i="1"/>
  <c r="S323" i="1"/>
  <c r="S322" i="1"/>
  <c r="S321" i="1"/>
  <c r="S320" i="1"/>
  <c r="S319" i="1"/>
  <c r="S318" i="1"/>
  <c r="S317" i="1"/>
  <c r="S316" i="1"/>
  <c r="S315" i="1"/>
  <c r="S314" i="1"/>
  <c r="S313" i="1"/>
  <c r="S312" i="1"/>
  <c r="S311" i="1"/>
  <c r="S310" i="1"/>
  <c r="S309" i="1"/>
  <c r="S308" i="1"/>
  <c r="S307" i="1"/>
  <c r="S306" i="1"/>
  <c r="S305" i="1"/>
  <c r="S304" i="1"/>
  <c r="S303" i="1"/>
  <c r="S302" i="1"/>
  <c r="S301" i="1"/>
  <c r="S300" i="1"/>
  <c r="S299" i="1"/>
  <c r="S298" i="1"/>
  <c r="S297" i="1"/>
  <c r="S296" i="1"/>
  <c r="S295" i="1"/>
  <c r="S294" i="1"/>
  <c r="S293" i="1"/>
  <c r="S292" i="1"/>
  <c r="S291" i="1"/>
  <c r="S290" i="1"/>
  <c r="S289" i="1"/>
  <c r="S288" i="1"/>
  <c r="S287" i="1"/>
  <c r="S286" i="1"/>
  <c r="S285" i="1"/>
  <c r="S284" i="1"/>
  <c r="S283" i="1"/>
  <c r="S282" i="1"/>
  <c r="S281" i="1"/>
  <c r="S280" i="1"/>
  <c r="S279" i="1"/>
  <c r="S278" i="1"/>
  <c r="S277" i="1"/>
  <c r="S276" i="1"/>
  <c r="S275" i="1"/>
  <c r="S274" i="1"/>
  <c r="S273" i="1"/>
  <c r="S272" i="1"/>
  <c r="S271" i="1"/>
  <c r="S270" i="1"/>
  <c r="S269" i="1"/>
  <c r="S268" i="1"/>
  <c r="S267" i="1"/>
  <c r="S266" i="1"/>
  <c r="S265" i="1"/>
  <c r="S264" i="1"/>
  <c r="S263" i="1"/>
  <c r="S262" i="1"/>
  <c r="S261" i="1"/>
  <c r="S260" i="1"/>
  <c r="S259" i="1"/>
  <c r="S258" i="1"/>
  <c r="S257" i="1"/>
  <c r="S256" i="1"/>
  <c r="S255" i="1"/>
  <c r="S254" i="1"/>
  <c r="S253" i="1"/>
  <c r="S252" i="1"/>
  <c r="S251" i="1"/>
  <c r="S250" i="1"/>
  <c r="S249" i="1"/>
  <c r="S248" i="1"/>
  <c r="S247" i="1"/>
  <c r="S246" i="1"/>
  <c r="S245" i="1"/>
  <c r="S244" i="1"/>
  <c r="S243" i="1"/>
  <c r="S242" i="1"/>
  <c r="S241" i="1"/>
  <c r="S240" i="1"/>
  <c r="S239" i="1"/>
  <c r="S238" i="1"/>
  <c r="S237" i="1"/>
  <c r="S236" i="1"/>
  <c r="S235" i="1"/>
  <c r="S234" i="1"/>
  <c r="S233" i="1"/>
  <c r="S232" i="1"/>
  <c r="S231" i="1"/>
  <c r="S230" i="1"/>
  <c r="S229" i="1"/>
  <c r="S228" i="1"/>
  <c r="S227" i="1"/>
  <c r="S226" i="1"/>
  <c r="S225" i="1"/>
  <c r="S224" i="1"/>
  <c r="S223" i="1"/>
  <c r="S222" i="1"/>
  <c r="S221" i="1"/>
  <c r="S220" i="1"/>
  <c r="S219" i="1"/>
  <c r="S218" i="1"/>
  <c r="S217" i="1"/>
  <c r="S216" i="1"/>
  <c r="S215" i="1"/>
  <c r="S214" i="1"/>
  <c r="S213" i="1"/>
  <c r="S212" i="1"/>
  <c r="S211" i="1"/>
  <c r="S210" i="1"/>
  <c r="S209" i="1"/>
  <c r="S208" i="1"/>
  <c r="S207" i="1"/>
  <c r="S206" i="1"/>
  <c r="S205" i="1"/>
  <c r="S204" i="1"/>
  <c r="S203" i="1"/>
  <c r="S202" i="1"/>
  <c r="S201" i="1"/>
  <c r="S200" i="1"/>
  <c r="S199" i="1"/>
  <c r="S198" i="1"/>
  <c r="S197" i="1"/>
  <c r="S196" i="1"/>
  <c r="S195" i="1"/>
  <c r="S194" i="1"/>
  <c r="S193" i="1"/>
  <c r="S192" i="1"/>
  <c r="S191" i="1"/>
  <c r="S190" i="1"/>
  <c r="S189" i="1"/>
  <c r="S188" i="1"/>
  <c r="S187" i="1"/>
  <c r="S186" i="1"/>
  <c r="S185" i="1"/>
  <c r="S184" i="1"/>
  <c r="S183" i="1"/>
  <c r="S182" i="1"/>
  <c r="S181" i="1"/>
  <c r="S180" i="1"/>
  <c r="S179" i="1"/>
  <c r="S178" i="1"/>
  <c r="S177" i="1"/>
  <c r="S176" i="1"/>
  <c r="S175" i="1"/>
  <c r="S174" i="1"/>
  <c r="S173" i="1"/>
  <c r="S172" i="1"/>
  <c r="S171" i="1"/>
  <c r="S170" i="1"/>
  <c r="S169" i="1"/>
  <c r="S168" i="1"/>
  <c r="S167" i="1"/>
  <c r="S166" i="1"/>
  <c r="S165" i="1"/>
  <c r="S164" i="1"/>
  <c r="S163" i="1"/>
  <c r="S162" i="1"/>
  <c r="S161" i="1"/>
  <c r="S160" i="1"/>
  <c r="S159" i="1"/>
  <c r="S158" i="1"/>
  <c r="S157" i="1"/>
  <c r="S156" i="1"/>
  <c r="S155" i="1"/>
  <c r="S154" i="1"/>
  <c r="S153" i="1"/>
  <c r="S152" i="1"/>
  <c r="S151" i="1"/>
  <c r="S150" i="1"/>
  <c r="S149" i="1"/>
  <c r="S148" i="1"/>
  <c r="S147" i="1"/>
  <c r="S146" i="1"/>
  <c r="S145" i="1"/>
  <c r="S144" i="1"/>
  <c r="S143" i="1"/>
  <c r="S142" i="1"/>
  <c r="S141" i="1"/>
  <c r="S140" i="1"/>
  <c r="S139" i="1"/>
  <c r="S138" i="1"/>
  <c r="S137" i="1"/>
  <c r="S136" i="1"/>
  <c r="S135" i="1"/>
  <c r="S134" i="1"/>
  <c r="N1121" i="1"/>
  <c r="N1120" i="1"/>
  <c r="N1119" i="1"/>
  <c r="N1118" i="1"/>
  <c r="N1117" i="1"/>
  <c r="N1116" i="1"/>
  <c r="N1115" i="1"/>
  <c r="N1114" i="1"/>
  <c r="N1113" i="1"/>
  <c r="N1112" i="1"/>
  <c r="N1111" i="1"/>
  <c r="N1110" i="1"/>
  <c r="N1109" i="1"/>
  <c r="N1108" i="1"/>
  <c r="N1107" i="1"/>
  <c r="N1106" i="1"/>
  <c r="N1105" i="1"/>
  <c r="N1104" i="1"/>
  <c r="N1103" i="1"/>
  <c r="N1102" i="1"/>
  <c r="N1101" i="1"/>
  <c r="N1100" i="1"/>
  <c r="N1099" i="1"/>
  <c r="N1098" i="1"/>
  <c r="N1097" i="1"/>
  <c r="N1096" i="1"/>
  <c r="N1095" i="1"/>
  <c r="N1094" i="1"/>
  <c r="N1093" i="1"/>
  <c r="N1092" i="1"/>
  <c r="N1091" i="1"/>
  <c r="N1090" i="1"/>
  <c r="N1089" i="1"/>
  <c r="N1088" i="1"/>
  <c r="N1087" i="1"/>
  <c r="N1086" i="1"/>
  <c r="N1085" i="1"/>
  <c r="N1084" i="1"/>
  <c r="N1083" i="1"/>
  <c r="N1082" i="1"/>
  <c r="N1081" i="1"/>
  <c r="N1080" i="1"/>
  <c r="N1079" i="1"/>
  <c r="N1078" i="1"/>
  <c r="N1077" i="1"/>
  <c r="N1076" i="1"/>
  <c r="N1075" i="1"/>
  <c r="N1074" i="1"/>
  <c r="N1073" i="1"/>
  <c r="N1072" i="1"/>
  <c r="N1071" i="1"/>
  <c r="N1070" i="1"/>
  <c r="N1069" i="1"/>
  <c r="N1068" i="1"/>
  <c r="N1067" i="1"/>
  <c r="N1066" i="1"/>
  <c r="N1065" i="1"/>
  <c r="N1064" i="1"/>
  <c r="N1063" i="1"/>
  <c r="N1062" i="1"/>
  <c r="N1061" i="1"/>
  <c r="N1060" i="1"/>
  <c r="N1059" i="1"/>
  <c r="N1058" i="1"/>
  <c r="N1057" i="1"/>
  <c r="N1056" i="1"/>
  <c r="N1055" i="1"/>
  <c r="N1054" i="1"/>
  <c r="N1053" i="1"/>
  <c r="N1052" i="1"/>
  <c r="N1051" i="1"/>
  <c r="N1050" i="1"/>
  <c r="N1049" i="1"/>
  <c r="N1048" i="1"/>
  <c r="N1047" i="1"/>
  <c r="N1046" i="1"/>
  <c r="N1045" i="1"/>
  <c r="N1044" i="1"/>
  <c r="N1043" i="1"/>
  <c r="N1042" i="1"/>
  <c r="N1041" i="1"/>
  <c r="N1040" i="1"/>
  <c r="N1039" i="1"/>
  <c r="N1038" i="1"/>
  <c r="N1037" i="1"/>
  <c r="N1036" i="1"/>
  <c r="N1035" i="1"/>
  <c r="N1034" i="1"/>
  <c r="N1033" i="1"/>
  <c r="N1032" i="1"/>
  <c r="N1031" i="1"/>
  <c r="N1030" i="1"/>
  <c r="N1029" i="1"/>
  <c r="N1028" i="1"/>
  <c r="N1027" i="1"/>
  <c r="N1026" i="1"/>
  <c r="N1025" i="1"/>
  <c r="N1024" i="1"/>
  <c r="N1023" i="1"/>
  <c r="N1022" i="1"/>
  <c r="N1021" i="1"/>
  <c r="N1020" i="1"/>
  <c r="N1019" i="1"/>
  <c r="N1018" i="1"/>
  <c r="N1017" i="1"/>
  <c r="N1016" i="1"/>
  <c r="N1015" i="1"/>
  <c r="N1014" i="1"/>
  <c r="N1013" i="1"/>
  <c r="N1012" i="1"/>
  <c r="N1011" i="1"/>
  <c r="N1010" i="1"/>
  <c r="N1009" i="1"/>
  <c r="N1008" i="1"/>
  <c r="N1007" i="1"/>
  <c r="N1006" i="1"/>
  <c r="N1005" i="1"/>
  <c r="N1004" i="1"/>
  <c r="N1003" i="1"/>
  <c r="N1002" i="1"/>
  <c r="N1001" i="1"/>
  <c r="N1000" i="1"/>
  <c r="N999" i="1"/>
  <c r="N998" i="1"/>
  <c r="N997" i="1"/>
  <c r="N996" i="1"/>
  <c r="N995" i="1"/>
  <c r="N994" i="1"/>
  <c r="N993" i="1"/>
  <c r="N992" i="1"/>
  <c r="N991" i="1"/>
  <c r="N990" i="1"/>
  <c r="N989" i="1"/>
  <c r="N988" i="1"/>
  <c r="N987" i="1"/>
  <c r="N986" i="1"/>
  <c r="N985" i="1"/>
  <c r="N984" i="1"/>
  <c r="N983" i="1"/>
  <c r="N982" i="1"/>
  <c r="N981" i="1"/>
  <c r="N980" i="1"/>
  <c r="N979" i="1"/>
  <c r="N978" i="1"/>
  <c r="N977" i="1"/>
  <c r="N976" i="1"/>
  <c r="N975" i="1"/>
  <c r="N974" i="1"/>
  <c r="N973" i="1"/>
  <c r="N972" i="1"/>
  <c r="N971" i="1"/>
  <c r="N970" i="1"/>
  <c r="N969" i="1"/>
  <c r="N968" i="1"/>
  <c r="N967" i="1"/>
  <c r="N966" i="1"/>
  <c r="N965" i="1"/>
  <c r="N964" i="1"/>
  <c r="N963" i="1"/>
  <c r="N962" i="1"/>
  <c r="N961" i="1"/>
  <c r="N960" i="1"/>
  <c r="N959" i="1"/>
  <c r="N958" i="1"/>
  <c r="N957" i="1"/>
  <c r="N956" i="1"/>
  <c r="N955" i="1"/>
  <c r="N954" i="1"/>
  <c r="N953" i="1"/>
  <c r="N952" i="1"/>
  <c r="N951" i="1"/>
  <c r="N950" i="1"/>
  <c r="N949" i="1"/>
  <c r="N948" i="1"/>
  <c r="N947" i="1"/>
  <c r="N946" i="1"/>
  <c r="N945" i="1"/>
  <c r="N944" i="1"/>
  <c r="N943" i="1"/>
  <c r="N942" i="1"/>
  <c r="N941" i="1"/>
  <c r="N940" i="1"/>
  <c r="N939" i="1"/>
  <c r="N938" i="1"/>
  <c r="N937" i="1"/>
  <c r="N936" i="1"/>
  <c r="N935" i="1"/>
  <c r="N934" i="1"/>
  <c r="N933" i="1"/>
  <c r="N932" i="1"/>
  <c r="N931" i="1"/>
  <c r="N930" i="1"/>
  <c r="N929" i="1"/>
  <c r="N928" i="1"/>
  <c r="N927" i="1"/>
  <c r="N926" i="1"/>
  <c r="N925" i="1"/>
  <c r="N924" i="1"/>
  <c r="N923" i="1"/>
  <c r="N922" i="1"/>
  <c r="N921" i="1"/>
  <c r="N920" i="1"/>
  <c r="N919" i="1"/>
  <c r="N918" i="1"/>
  <c r="N917" i="1"/>
  <c r="N916" i="1"/>
  <c r="N915" i="1"/>
  <c r="N914" i="1"/>
  <c r="N913" i="1"/>
  <c r="N912" i="1"/>
  <c r="N911" i="1"/>
  <c r="N910" i="1"/>
  <c r="N909" i="1"/>
  <c r="N908" i="1"/>
  <c r="N907" i="1"/>
  <c r="N906" i="1"/>
  <c r="N905" i="1"/>
  <c r="N904" i="1"/>
  <c r="N903" i="1"/>
  <c r="N902" i="1"/>
  <c r="N901" i="1"/>
  <c r="N900" i="1"/>
  <c r="N899" i="1"/>
  <c r="N898" i="1"/>
  <c r="N897" i="1"/>
  <c r="N896" i="1"/>
  <c r="N895" i="1"/>
  <c r="N894" i="1"/>
  <c r="N893" i="1"/>
  <c r="N892" i="1"/>
  <c r="N891" i="1"/>
  <c r="N890" i="1"/>
  <c r="N889" i="1"/>
  <c r="N888" i="1"/>
  <c r="N887" i="1"/>
  <c r="N886" i="1"/>
  <c r="N885" i="1"/>
  <c r="N884" i="1"/>
  <c r="N883" i="1"/>
  <c r="N882" i="1"/>
  <c r="N881" i="1"/>
  <c r="N880" i="1"/>
  <c r="N879" i="1"/>
  <c r="N878" i="1"/>
  <c r="N877" i="1"/>
  <c r="N876" i="1"/>
  <c r="N875" i="1"/>
  <c r="N874" i="1"/>
  <c r="N873" i="1"/>
  <c r="N872" i="1"/>
  <c r="N871" i="1"/>
  <c r="N870" i="1"/>
  <c r="N869" i="1"/>
  <c r="N868" i="1"/>
  <c r="N867" i="1"/>
  <c r="N866" i="1"/>
  <c r="N865" i="1"/>
  <c r="N864" i="1"/>
  <c r="N863" i="1"/>
  <c r="N862" i="1"/>
  <c r="N861" i="1"/>
  <c r="N860" i="1"/>
  <c r="N859" i="1"/>
  <c r="N858" i="1"/>
  <c r="N857" i="1"/>
  <c r="N856" i="1"/>
  <c r="N855" i="1"/>
  <c r="N854" i="1"/>
  <c r="N853" i="1"/>
  <c r="N852" i="1"/>
  <c r="N851" i="1"/>
  <c r="N850" i="1"/>
  <c r="N849" i="1"/>
  <c r="N848" i="1"/>
  <c r="N847" i="1"/>
  <c r="N846" i="1"/>
  <c r="N845" i="1"/>
  <c r="N844" i="1"/>
  <c r="N843" i="1"/>
  <c r="N842" i="1"/>
  <c r="N841" i="1"/>
  <c r="N840" i="1"/>
  <c r="N839" i="1"/>
  <c r="N838" i="1"/>
  <c r="N837" i="1"/>
  <c r="N836" i="1"/>
  <c r="N835" i="1"/>
  <c r="N834" i="1"/>
  <c r="N833" i="1"/>
  <c r="N832" i="1"/>
  <c r="N831" i="1"/>
  <c r="N830" i="1"/>
  <c r="N829" i="1"/>
  <c r="N828" i="1"/>
  <c r="N827" i="1"/>
  <c r="N826" i="1"/>
  <c r="N825" i="1"/>
  <c r="N824" i="1"/>
  <c r="N823" i="1"/>
  <c r="N822" i="1"/>
  <c r="N821" i="1"/>
  <c r="N820" i="1"/>
  <c r="N819" i="1"/>
  <c r="N818" i="1"/>
  <c r="N817" i="1"/>
  <c r="N816" i="1"/>
  <c r="N815" i="1"/>
  <c r="N814" i="1"/>
  <c r="N813" i="1"/>
  <c r="N812" i="1"/>
  <c r="N811" i="1"/>
  <c r="N810" i="1"/>
  <c r="N809" i="1"/>
  <c r="N808" i="1"/>
  <c r="N807" i="1"/>
  <c r="N806" i="1"/>
  <c r="N805" i="1"/>
  <c r="N804" i="1"/>
  <c r="N803" i="1"/>
  <c r="N802" i="1"/>
  <c r="N801" i="1"/>
  <c r="N800" i="1"/>
  <c r="N799" i="1"/>
  <c r="N798" i="1"/>
  <c r="N797" i="1"/>
  <c r="N796" i="1"/>
  <c r="N795" i="1"/>
  <c r="N794" i="1"/>
  <c r="N793" i="1"/>
  <c r="N792" i="1"/>
  <c r="N791" i="1"/>
  <c r="N790" i="1"/>
  <c r="N789" i="1"/>
  <c r="N788" i="1"/>
  <c r="N787" i="1"/>
  <c r="N786" i="1"/>
  <c r="N785" i="1"/>
  <c r="N784" i="1"/>
  <c r="N783" i="1"/>
  <c r="N782" i="1"/>
  <c r="N781" i="1"/>
  <c r="N780" i="1"/>
  <c r="N779" i="1"/>
  <c r="N778" i="1"/>
  <c r="N777" i="1"/>
  <c r="N776" i="1"/>
  <c r="N775" i="1"/>
  <c r="N774" i="1"/>
  <c r="N773" i="1"/>
  <c r="N772" i="1"/>
  <c r="N771" i="1"/>
  <c r="N770" i="1"/>
  <c r="N769" i="1"/>
  <c r="N768" i="1"/>
  <c r="N767" i="1"/>
  <c r="N766" i="1"/>
  <c r="N765" i="1"/>
  <c r="N764" i="1"/>
  <c r="N763" i="1"/>
  <c r="N762" i="1"/>
  <c r="N761" i="1"/>
  <c r="N760" i="1"/>
  <c r="N759" i="1"/>
  <c r="N758" i="1"/>
  <c r="N757" i="1"/>
  <c r="N756" i="1"/>
  <c r="N755" i="1"/>
  <c r="N754" i="1"/>
  <c r="N753" i="1"/>
  <c r="N752" i="1"/>
  <c r="N751" i="1"/>
  <c r="N750" i="1"/>
  <c r="N749" i="1"/>
  <c r="N748" i="1"/>
  <c r="N747" i="1"/>
  <c r="N746" i="1"/>
  <c r="N745" i="1"/>
  <c r="N744" i="1"/>
  <c r="N743" i="1"/>
  <c r="N742" i="1"/>
  <c r="N741" i="1"/>
  <c r="N740" i="1"/>
  <c r="N739" i="1"/>
  <c r="N738" i="1"/>
  <c r="N737" i="1"/>
  <c r="N736" i="1"/>
  <c r="N735" i="1"/>
  <c r="N734" i="1"/>
  <c r="N733" i="1"/>
  <c r="N732" i="1"/>
  <c r="N731" i="1"/>
  <c r="N730" i="1"/>
  <c r="N729" i="1"/>
  <c r="N728" i="1"/>
  <c r="N727" i="1"/>
  <c r="N726" i="1"/>
  <c r="N725" i="1"/>
  <c r="N724" i="1"/>
  <c r="N723" i="1"/>
  <c r="N722" i="1"/>
  <c r="N721" i="1"/>
  <c r="N720" i="1"/>
  <c r="N719" i="1"/>
  <c r="N718" i="1"/>
  <c r="N717" i="1"/>
  <c r="N716" i="1"/>
  <c r="N715" i="1"/>
  <c r="N714" i="1"/>
  <c r="N713" i="1"/>
  <c r="N712" i="1"/>
  <c r="N711" i="1"/>
  <c r="N710" i="1"/>
  <c r="N709" i="1"/>
  <c r="N708" i="1"/>
  <c r="N707" i="1"/>
  <c r="N706" i="1"/>
  <c r="N705" i="1"/>
  <c r="N704" i="1"/>
  <c r="N703" i="1"/>
  <c r="N702" i="1"/>
  <c r="N701" i="1"/>
  <c r="N700" i="1"/>
  <c r="N699" i="1"/>
  <c r="N698" i="1"/>
  <c r="N697" i="1"/>
  <c r="N696" i="1"/>
  <c r="N695" i="1"/>
  <c r="N694" i="1"/>
  <c r="N693" i="1"/>
  <c r="N692" i="1"/>
  <c r="N691" i="1"/>
  <c r="N690" i="1"/>
  <c r="N689" i="1"/>
  <c r="N688" i="1"/>
  <c r="N687" i="1"/>
  <c r="N686" i="1"/>
  <c r="N685" i="1"/>
  <c r="N684" i="1"/>
  <c r="N683" i="1"/>
  <c r="N682" i="1"/>
  <c r="N681" i="1"/>
  <c r="N680" i="1"/>
  <c r="N679" i="1"/>
  <c r="N678" i="1"/>
  <c r="N677" i="1"/>
  <c r="N676" i="1"/>
  <c r="N675" i="1"/>
  <c r="N674" i="1"/>
  <c r="N673" i="1"/>
  <c r="N672" i="1"/>
  <c r="N671" i="1"/>
  <c r="N670" i="1"/>
  <c r="N669" i="1"/>
  <c r="N668" i="1"/>
  <c r="N667" i="1"/>
  <c r="N666" i="1"/>
  <c r="N665" i="1"/>
  <c r="N664" i="1"/>
  <c r="N663" i="1"/>
  <c r="N662" i="1"/>
  <c r="N661" i="1"/>
  <c r="N660" i="1"/>
  <c r="N659" i="1"/>
  <c r="N658" i="1"/>
  <c r="N657" i="1"/>
  <c r="N656" i="1"/>
  <c r="N655" i="1"/>
  <c r="N654" i="1"/>
  <c r="N653" i="1"/>
  <c r="N652" i="1"/>
  <c r="N651" i="1"/>
  <c r="N650" i="1"/>
  <c r="N649" i="1"/>
  <c r="N648" i="1"/>
  <c r="N647" i="1"/>
  <c r="N646" i="1"/>
  <c r="N645" i="1"/>
  <c r="N644" i="1"/>
  <c r="N643" i="1"/>
  <c r="N642" i="1"/>
  <c r="N641" i="1"/>
  <c r="N640" i="1"/>
  <c r="N639" i="1"/>
  <c r="N638" i="1"/>
  <c r="N637" i="1"/>
  <c r="N636" i="1"/>
  <c r="N635" i="1"/>
  <c r="N634" i="1"/>
  <c r="N633" i="1"/>
  <c r="N632" i="1"/>
  <c r="N631" i="1"/>
  <c r="N630" i="1"/>
  <c r="N629" i="1"/>
  <c r="N628" i="1"/>
  <c r="N627" i="1"/>
  <c r="N626" i="1"/>
  <c r="N625" i="1"/>
  <c r="N624" i="1"/>
  <c r="N623" i="1"/>
  <c r="N622" i="1"/>
  <c r="N621" i="1"/>
  <c r="N620" i="1"/>
  <c r="N619" i="1"/>
  <c r="N618" i="1"/>
  <c r="N617" i="1"/>
  <c r="N616" i="1"/>
  <c r="N615" i="1"/>
  <c r="N614" i="1"/>
  <c r="N613" i="1"/>
  <c r="N612" i="1"/>
  <c r="N611" i="1"/>
  <c r="N610" i="1"/>
  <c r="N609" i="1"/>
  <c r="N608" i="1"/>
  <c r="N607" i="1"/>
  <c r="N606" i="1"/>
  <c r="N605" i="1"/>
  <c r="N604" i="1"/>
  <c r="N603" i="1"/>
  <c r="N602" i="1"/>
  <c r="N601" i="1"/>
  <c r="N600" i="1"/>
  <c r="N599" i="1"/>
  <c r="N598" i="1"/>
  <c r="N597" i="1"/>
  <c r="N596" i="1"/>
  <c r="N595" i="1"/>
  <c r="N594" i="1"/>
  <c r="N593" i="1"/>
  <c r="N592" i="1"/>
  <c r="N591" i="1"/>
  <c r="N590" i="1"/>
  <c r="N589" i="1"/>
  <c r="N588" i="1"/>
  <c r="N587" i="1"/>
  <c r="N586" i="1"/>
  <c r="N585" i="1"/>
  <c r="N584" i="1"/>
  <c r="N583" i="1"/>
  <c r="N582" i="1"/>
  <c r="N581" i="1"/>
  <c r="N580" i="1"/>
  <c r="N579" i="1"/>
  <c r="N578" i="1"/>
  <c r="N577" i="1"/>
  <c r="N576" i="1"/>
  <c r="N575" i="1"/>
  <c r="N574" i="1"/>
  <c r="N573" i="1"/>
  <c r="N572" i="1"/>
  <c r="N571" i="1"/>
  <c r="N570" i="1"/>
  <c r="N569" i="1"/>
  <c r="N568" i="1"/>
  <c r="N567" i="1"/>
  <c r="N566" i="1"/>
  <c r="N565" i="1"/>
  <c r="N564" i="1"/>
  <c r="N563" i="1"/>
  <c r="N562" i="1"/>
  <c r="N561" i="1"/>
  <c r="N560" i="1"/>
  <c r="N559" i="1"/>
  <c r="N558" i="1"/>
  <c r="N557" i="1"/>
  <c r="N556" i="1"/>
  <c r="N555" i="1"/>
  <c r="N554" i="1"/>
  <c r="N553" i="1"/>
  <c r="N552" i="1"/>
  <c r="N551" i="1"/>
  <c r="N550" i="1"/>
  <c r="N549" i="1"/>
  <c r="N548" i="1"/>
  <c r="N547" i="1"/>
  <c r="N546" i="1"/>
  <c r="N545" i="1"/>
  <c r="N544" i="1"/>
  <c r="N543" i="1"/>
  <c r="N542" i="1"/>
  <c r="N541" i="1"/>
  <c r="N540" i="1"/>
  <c r="N539" i="1"/>
  <c r="N538" i="1"/>
  <c r="N537" i="1"/>
  <c r="N536" i="1"/>
  <c r="N535" i="1"/>
  <c r="N534" i="1"/>
  <c r="N533" i="1"/>
  <c r="N532" i="1"/>
  <c r="N531" i="1"/>
  <c r="N530" i="1"/>
  <c r="N529" i="1"/>
  <c r="N528" i="1"/>
  <c r="N527" i="1"/>
  <c r="N526" i="1"/>
  <c r="N525" i="1"/>
  <c r="N524" i="1"/>
  <c r="N523" i="1"/>
  <c r="N522" i="1"/>
  <c r="N521" i="1"/>
  <c r="N520" i="1"/>
  <c r="N519" i="1"/>
  <c r="N518" i="1"/>
  <c r="N517" i="1"/>
  <c r="N516" i="1"/>
  <c r="N515" i="1"/>
  <c r="N514" i="1"/>
  <c r="N513" i="1"/>
  <c r="N512" i="1"/>
  <c r="N511" i="1"/>
  <c r="N510" i="1"/>
  <c r="N509" i="1"/>
  <c r="N508" i="1"/>
  <c r="N507" i="1"/>
  <c r="N506" i="1"/>
  <c r="N505" i="1"/>
  <c r="N504" i="1"/>
  <c r="N503" i="1"/>
  <c r="N502" i="1"/>
  <c r="N501" i="1"/>
  <c r="N500" i="1"/>
  <c r="N499" i="1"/>
  <c r="N498" i="1"/>
  <c r="N497" i="1"/>
  <c r="N496" i="1"/>
  <c r="N495" i="1"/>
  <c r="N494" i="1"/>
  <c r="N493" i="1"/>
  <c r="N492" i="1"/>
  <c r="N491" i="1"/>
  <c r="N490" i="1"/>
  <c r="N489" i="1"/>
  <c r="N488" i="1"/>
  <c r="N487" i="1"/>
  <c r="N486" i="1"/>
  <c r="N485" i="1"/>
  <c r="N484" i="1"/>
  <c r="N483" i="1"/>
  <c r="N482" i="1"/>
  <c r="N481" i="1"/>
  <c r="N480" i="1"/>
  <c r="N479" i="1"/>
  <c r="N478" i="1"/>
  <c r="N477" i="1"/>
  <c r="N476" i="1"/>
  <c r="N475" i="1"/>
  <c r="N474" i="1"/>
  <c r="N473" i="1"/>
  <c r="N472" i="1"/>
  <c r="N471" i="1"/>
  <c r="N470" i="1"/>
  <c r="N469" i="1"/>
  <c r="N468" i="1"/>
  <c r="N467" i="1"/>
  <c r="N466" i="1"/>
  <c r="N465" i="1"/>
  <c r="N464" i="1"/>
  <c r="N463" i="1"/>
  <c r="N462" i="1"/>
  <c r="N461" i="1"/>
  <c r="N460" i="1"/>
  <c r="N459" i="1"/>
  <c r="N458" i="1"/>
  <c r="N457" i="1"/>
  <c r="N456" i="1"/>
  <c r="N455" i="1"/>
  <c r="N454" i="1"/>
  <c r="N453" i="1"/>
  <c r="N452" i="1"/>
  <c r="N451" i="1"/>
  <c r="N450" i="1"/>
  <c r="N449" i="1"/>
  <c r="N448" i="1"/>
  <c r="N447" i="1"/>
  <c r="N446" i="1"/>
  <c r="N445" i="1"/>
  <c r="N444" i="1"/>
  <c r="N443" i="1"/>
  <c r="N442" i="1"/>
  <c r="N441" i="1"/>
  <c r="N440" i="1"/>
  <c r="N439" i="1"/>
  <c r="N438" i="1"/>
  <c r="N437" i="1"/>
  <c r="N436" i="1"/>
  <c r="N435" i="1"/>
  <c r="N434" i="1"/>
  <c r="N433" i="1"/>
  <c r="N432" i="1"/>
  <c r="N431" i="1"/>
  <c r="N430" i="1"/>
  <c r="N429" i="1"/>
  <c r="N428" i="1"/>
  <c r="N427" i="1"/>
  <c r="N426" i="1"/>
  <c r="N425" i="1"/>
  <c r="N424" i="1"/>
  <c r="N423" i="1"/>
  <c r="N422" i="1"/>
  <c r="N421" i="1"/>
  <c r="N420" i="1"/>
  <c r="N419" i="1"/>
  <c r="N418" i="1"/>
  <c r="N417" i="1"/>
  <c r="N416" i="1"/>
  <c r="N415" i="1"/>
  <c r="N414" i="1"/>
  <c r="N413" i="1"/>
  <c r="N412" i="1"/>
  <c r="N411" i="1"/>
  <c r="N410" i="1"/>
  <c r="N409" i="1"/>
  <c r="N408" i="1"/>
  <c r="N407" i="1"/>
  <c r="N406" i="1"/>
  <c r="N405" i="1"/>
  <c r="N404" i="1"/>
  <c r="N403" i="1"/>
  <c r="N402" i="1"/>
  <c r="N401" i="1"/>
  <c r="N400" i="1"/>
  <c r="N399" i="1"/>
  <c r="N398" i="1"/>
  <c r="N397" i="1"/>
  <c r="N396" i="1"/>
  <c r="N395" i="1"/>
  <c r="N394" i="1"/>
  <c r="N393" i="1"/>
  <c r="N392" i="1"/>
  <c r="N391" i="1"/>
  <c r="N390" i="1"/>
  <c r="N389" i="1"/>
  <c r="N388" i="1"/>
  <c r="N387" i="1"/>
  <c r="N386" i="1"/>
  <c r="N385" i="1"/>
  <c r="N384" i="1"/>
  <c r="N383" i="1"/>
  <c r="N382" i="1"/>
  <c r="N381" i="1"/>
  <c r="N380" i="1"/>
  <c r="N379" i="1"/>
  <c r="N378" i="1"/>
  <c r="N377" i="1"/>
  <c r="N376" i="1"/>
  <c r="N375" i="1"/>
  <c r="N374" i="1"/>
  <c r="N373" i="1"/>
  <c r="N372" i="1"/>
  <c r="N371" i="1"/>
  <c r="N370" i="1"/>
  <c r="N369" i="1"/>
  <c r="N368" i="1"/>
  <c r="N367" i="1"/>
  <c r="N366" i="1"/>
  <c r="N365" i="1"/>
  <c r="N364" i="1"/>
  <c r="N363" i="1"/>
  <c r="N362" i="1"/>
  <c r="N361" i="1"/>
  <c r="N360" i="1"/>
  <c r="N359" i="1"/>
  <c r="N358" i="1"/>
  <c r="N357" i="1"/>
  <c r="N356" i="1"/>
  <c r="N355" i="1"/>
  <c r="N354" i="1"/>
  <c r="N353" i="1"/>
  <c r="N352" i="1"/>
  <c r="N351" i="1"/>
  <c r="N350" i="1"/>
  <c r="N349" i="1"/>
  <c r="N348" i="1"/>
  <c r="N347" i="1"/>
  <c r="N346" i="1"/>
  <c r="N345" i="1"/>
  <c r="N344" i="1"/>
  <c r="N343" i="1"/>
  <c r="N342" i="1"/>
  <c r="N341" i="1"/>
  <c r="N340" i="1"/>
  <c r="N339" i="1"/>
  <c r="N338" i="1"/>
  <c r="N337" i="1"/>
  <c r="N336" i="1"/>
  <c r="N335" i="1"/>
  <c r="N334" i="1"/>
  <c r="N333" i="1"/>
  <c r="N332" i="1"/>
  <c r="N331" i="1"/>
  <c r="N330" i="1"/>
  <c r="N329" i="1"/>
  <c r="N328" i="1"/>
  <c r="N327" i="1"/>
  <c r="N326" i="1"/>
  <c r="N325" i="1"/>
  <c r="N324" i="1"/>
  <c r="N323" i="1"/>
  <c r="N322" i="1"/>
  <c r="N321" i="1"/>
  <c r="N320" i="1"/>
  <c r="N319" i="1"/>
  <c r="N318" i="1"/>
  <c r="N317" i="1"/>
  <c r="N316" i="1"/>
  <c r="N315" i="1"/>
  <c r="N314" i="1"/>
  <c r="N313" i="1"/>
  <c r="N312" i="1"/>
  <c r="N311" i="1"/>
  <c r="N310" i="1"/>
  <c r="N309" i="1"/>
  <c r="N308" i="1"/>
  <c r="N307" i="1"/>
  <c r="N306" i="1"/>
  <c r="N305" i="1"/>
  <c r="N304" i="1"/>
  <c r="N303" i="1"/>
  <c r="N302" i="1"/>
  <c r="N301" i="1"/>
  <c r="N300" i="1"/>
  <c r="N299" i="1"/>
  <c r="N298" i="1"/>
  <c r="N297" i="1"/>
  <c r="N296" i="1"/>
  <c r="N295" i="1"/>
  <c r="N294" i="1"/>
  <c r="N293" i="1"/>
  <c r="N292" i="1"/>
  <c r="N291" i="1"/>
  <c r="N290" i="1"/>
  <c r="N289" i="1"/>
  <c r="N288" i="1"/>
  <c r="N287" i="1"/>
  <c r="N286" i="1"/>
  <c r="N285" i="1"/>
  <c r="N284" i="1"/>
  <c r="N283" i="1"/>
  <c r="N282" i="1"/>
  <c r="N281" i="1"/>
  <c r="N280" i="1"/>
  <c r="N279" i="1"/>
  <c r="N278" i="1"/>
  <c r="N277" i="1"/>
  <c r="N276" i="1"/>
  <c r="N275" i="1"/>
  <c r="N274" i="1"/>
  <c r="N273" i="1"/>
  <c r="N272" i="1"/>
  <c r="N271" i="1"/>
  <c r="N270" i="1"/>
  <c r="N269" i="1"/>
  <c r="N268" i="1"/>
  <c r="N267" i="1"/>
  <c r="N266" i="1"/>
  <c r="N265" i="1"/>
  <c r="N264" i="1"/>
  <c r="N263" i="1"/>
  <c r="N262" i="1"/>
  <c r="N261" i="1"/>
  <c r="N260" i="1"/>
  <c r="N259" i="1"/>
  <c r="N258" i="1"/>
  <c r="N257" i="1"/>
  <c r="N256" i="1"/>
  <c r="N255" i="1"/>
  <c r="N254" i="1"/>
  <c r="N253" i="1"/>
  <c r="N252" i="1"/>
  <c r="N251" i="1"/>
  <c r="N250" i="1"/>
  <c r="N249" i="1"/>
  <c r="N248" i="1"/>
  <c r="N247" i="1"/>
  <c r="N246" i="1"/>
  <c r="N245" i="1"/>
  <c r="N244" i="1"/>
  <c r="N243" i="1"/>
  <c r="N242" i="1"/>
  <c r="N241" i="1"/>
  <c r="N240" i="1"/>
  <c r="N239" i="1"/>
  <c r="N238" i="1"/>
  <c r="N237" i="1"/>
  <c r="N236" i="1"/>
  <c r="N235" i="1"/>
  <c r="N234" i="1"/>
  <c r="N233" i="1"/>
  <c r="N232" i="1"/>
  <c r="N231" i="1"/>
  <c r="N230" i="1"/>
  <c r="N229" i="1"/>
  <c r="N228" i="1"/>
  <c r="N227" i="1"/>
  <c r="N226" i="1"/>
  <c r="N225" i="1"/>
  <c r="N224" i="1"/>
  <c r="N223" i="1"/>
  <c r="N222" i="1"/>
  <c r="N221" i="1"/>
  <c r="N220" i="1"/>
  <c r="N219" i="1"/>
  <c r="N218" i="1"/>
  <c r="N217" i="1"/>
  <c r="N216" i="1"/>
  <c r="N215" i="1"/>
  <c r="N214" i="1"/>
  <c r="N213" i="1"/>
  <c r="N212" i="1"/>
  <c r="N211" i="1"/>
  <c r="N210" i="1"/>
  <c r="N209" i="1"/>
  <c r="N208" i="1"/>
  <c r="N207" i="1"/>
  <c r="N206" i="1"/>
  <c r="N205" i="1"/>
  <c r="N204" i="1"/>
  <c r="N203" i="1"/>
  <c r="N202" i="1"/>
  <c r="N201" i="1"/>
  <c r="N200" i="1"/>
  <c r="N199" i="1"/>
  <c r="N198" i="1"/>
  <c r="N197" i="1"/>
  <c r="N196" i="1"/>
  <c r="N195" i="1"/>
  <c r="N194" i="1"/>
  <c r="N193" i="1"/>
  <c r="N192" i="1"/>
  <c r="N191" i="1"/>
  <c r="N190" i="1"/>
  <c r="N189" i="1"/>
  <c r="N188" i="1"/>
  <c r="N187" i="1"/>
  <c r="N186" i="1"/>
  <c r="N185" i="1"/>
  <c r="N184" i="1"/>
  <c r="N183" i="1"/>
  <c r="N182" i="1"/>
  <c r="N181" i="1"/>
  <c r="N180" i="1"/>
  <c r="N179" i="1"/>
  <c r="N178" i="1"/>
  <c r="N177" i="1"/>
  <c r="N176" i="1"/>
  <c r="N175" i="1"/>
  <c r="N174" i="1"/>
  <c r="N173" i="1"/>
  <c r="N172" i="1"/>
  <c r="N171" i="1"/>
  <c r="N170" i="1"/>
  <c r="N169" i="1"/>
  <c r="N168" i="1"/>
  <c r="N167" i="1"/>
  <c r="N166" i="1"/>
  <c r="N165" i="1"/>
  <c r="N164" i="1"/>
  <c r="N163" i="1"/>
  <c r="N162" i="1"/>
  <c r="N161" i="1"/>
  <c r="N160" i="1"/>
  <c r="N159" i="1"/>
  <c r="N158" i="1"/>
  <c r="N157" i="1"/>
  <c r="N156" i="1"/>
  <c r="N155" i="1"/>
  <c r="N154" i="1"/>
  <c r="N153" i="1"/>
  <c r="N152" i="1"/>
  <c r="N151" i="1"/>
  <c r="N150" i="1"/>
  <c r="N149" i="1"/>
  <c r="N148" i="1"/>
  <c r="N147" i="1"/>
  <c r="N146" i="1"/>
  <c r="N145" i="1"/>
  <c r="N144" i="1"/>
  <c r="N143" i="1"/>
  <c r="N142" i="1"/>
  <c r="N141" i="1"/>
  <c r="N140" i="1"/>
  <c r="N139" i="1"/>
  <c r="N138" i="1"/>
  <c r="N137" i="1"/>
  <c r="N136" i="1"/>
  <c r="N135" i="1"/>
  <c r="N134" i="1"/>
</calcChain>
</file>

<file path=xl/sharedStrings.xml><?xml version="1.0" encoding="utf-8"?>
<sst xmlns="http://schemas.openxmlformats.org/spreadsheetml/2006/main" count="1997" uniqueCount="116">
  <si>
    <t>Crititicality</t>
  </si>
  <si>
    <t>Finding Date</t>
  </si>
  <si>
    <t>Finding Name</t>
  </si>
  <si>
    <t>Finding Description</t>
  </si>
  <si>
    <t>Finding Owner</t>
  </si>
  <si>
    <t>Overall Status</t>
  </si>
  <si>
    <t>Source</t>
  </si>
  <si>
    <t>Days Open</t>
  </si>
  <si>
    <t>Remediation Plan ID</t>
  </si>
  <si>
    <t>Remediation Plan Name</t>
  </si>
  <si>
    <t>Remediation Plan Summary</t>
  </si>
  <si>
    <t>Tech Dependency</t>
  </si>
  <si>
    <t>Remediation Status</t>
  </si>
  <si>
    <t>Original Plan Date</t>
  </si>
  <si>
    <t>Current Plan Date</t>
  </si>
  <si>
    <t>Original Commitment Date</t>
  </si>
  <si>
    <t>Current Commitment Date</t>
  </si>
  <si>
    <t>Retarget Counter</t>
  </si>
  <si>
    <t>Fraud Dependency</t>
  </si>
  <si>
    <t>Plan Status</t>
  </si>
  <si>
    <t>Criticality</t>
  </si>
  <si>
    <t>Finding Status</t>
  </si>
  <si>
    <t>Low</t>
  </si>
  <si>
    <t>High</t>
  </si>
  <si>
    <t>Medium</t>
  </si>
  <si>
    <t>Approved - Pending Resolution</t>
  </si>
  <si>
    <t>Pending Verification</t>
  </si>
  <si>
    <t>Closed</t>
  </si>
  <si>
    <t>Word of Mouth</t>
  </si>
  <si>
    <t>Google Reviews</t>
  </si>
  <si>
    <t>Yes - website related</t>
  </si>
  <si>
    <t>No - not website related</t>
  </si>
  <si>
    <t>Red</t>
  </si>
  <si>
    <t>Yellow</t>
  </si>
  <si>
    <t>Green</t>
  </si>
  <si>
    <t>Address Concerns of **CLIENT NAME REDACTED**</t>
  </si>
  <si>
    <t>N/A</t>
  </si>
  <si>
    <t>Redmediation Close Date</t>
  </si>
  <si>
    <t>No</t>
  </si>
  <si>
    <t>Enter N/A if remediation is open.</t>
  </si>
  <si>
    <t>Individual Finding Viewer</t>
  </si>
  <si>
    <t>Montly Report Input</t>
  </si>
  <si>
    <t>Yelp</t>
  </si>
  <si>
    <t>Yes</t>
  </si>
  <si>
    <t>Row Labels</t>
  </si>
  <si>
    <t>Grand Total</t>
  </si>
  <si>
    <t>Jan</t>
  </si>
  <si>
    <t>Feb</t>
  </si>
  <si>
    <t>Mar</t>
  </si>
  <si>
    <t>Apr</t>
  </si>
  <si>
    <t>May</t>
  </si>
  <si>
    <t>Jun</t>
  </si>
  <si>
    <t>Jul</t>
  </si>
  <si>
    <t>Aug</t>
  </si>
  <si>
    <t>Sep</t>
  </si>
  <si>
    <t>Oct</t>
  </si>
  <si>
    <t>Nov</t>
  </si>
  <si>
    <t>Dec</t>
  </si>
  <si>
    <t>Count of Finding Date</t>
  </si>
  <si>
    <t>2021</t>
  </si>
  <si>
    <t>2022</t>
  </si>
  <si>
    <t>Year</t>
  </si>
  <si>
    <t>Months</t>
  </si>
  <si>
    <t>January</t>
  </si>
  <si>
    <t>February</t>
  </si>
  <si>
    <t>March</t>
  </si>
  <si>
    <t>April</t>
  </si>
  <si>
    <t>June</t>
  </si>
  <si>
    <t>July</t>
  </si>
  <si>
    <t>August</t>
  </si>
  <si>
    <t>September</t>
  </si>
  <si>
    <t>October</t>
  </si>
  <si>
    <t>November</t>
  </si>
  <si>
    <t>December</t>
  </si>
  <si>
    <t>Count of Findings</t>
  </si>
  <si>
    <t>Count of Closures</t>
  </si>
  <si>
    <t>OVERALL DATA</t>
  </si>
  <si>
    <t>Count of Overall Status</t>
  </si>
  <si>
    <t>Count of Retargets</t>
  </si>
  <si>
    <t>Count of Retarget Counter</t>
  </si>
  <si>
    <t>(Multiple Items)</t>
  </si>
  <si>
    <t>Pending Verification Count</t>
  </si>
  <si>
    <t>Plan Status Counts</t>
  </si>
  <si>
    <t>Count of Plan Status</t>
  </si>
  <si>
    <t>Average Days Open</t>
  </si>
  <si>
    <t>Average of Days Open</t>
  </si>
  <si>
    <t>Findings per Owner</t>
  </si>
  <si>
    <t>John</t>
  </si>
  <si>
    <t>Phil</t>
  </si>
  <si>
    <t>Sarah</t>
  </si>
  <si>
    <t>Jenny</t>
  </si>
  <si>
    <t>Month</t>
  </si>
  <si>
    <t>up number</t>
  </si>
  <si>
    <t>down number</t>
  </si>
  <si>
    <t>up arrow</t>
  </si>
  <si>
    <t>down arrow</t>
  </si>
  <si>
    <t>thismonth - last</t>
  </si>
  <si>
    <t>pending verification</t>
  </si>
  <si>
    <t>tech dependency</t>
  </si>
  <si>
    <t>fraud dependency</t>
  </si>
  <si>
    <t>prev month</t>
  </si>
  <si>
    <t>Findings</t>
  </si>
  <si>
    <t>Closures</t>
  </si>
  <si>
    <t>Retargets</t>
  </si>
  <si>
    <t>cur month</t>
  </si>
  <si>
    <t>avg days open</t>
  </si>
  <si>
    <t>number</t>
  </si>
  <si>
    <t>percentage</t>
  </si>
  <si>
    <t>(All)</t>
  </si>
  <si>
    <t>Findings by Owner</t>
  </si>
  <si>
    <t>Total Findings</t>
  </si>
  <si>
    <t>Total Closures</t>
  </si>
  <si>
    <t>Total Retargets</t>
  </si>
  <si>
    <t>Client Dissatisfaction over representative</t>
  </si>
  <si>
    <t>On January 7th, 2021, customer ***NAME REDACTED** stated that they came to the store and representative **LAST NAME REDACTED** was rude to the client and advised that she wouldn't be able to accommodate the client's request to make 400 cookies by February 7th.</t>
  </si>
  <si>
    <t>During the course of our review of the incident, it was determined that **LAST NAME REDACTED* was within her right to decline the request given the tight turnaround time, and that the agent was at no point rude to the client. Offered 10% off any future purchases to the client.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</si>
</sst>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409]d\-mmm\-yy;@"/>
    <numFmt numFmtId="165" formatCode="mmmm"/>
    <numFmt numFmtId="166" formatCode="0.0"/>
  </numFmts>
  <fonts count="10" x14ac:knownFonts="1">
    <font>
      <sz val="11"/>
      <color theme="1"/>
      <name val="Calibri"/>
      <family val="2"/>
      <scheme val="minor"/>
    </font>
    <font>
      <b/>
      <sz val="11"/>
      <color theme="1"/>
      <name val="Calibri"/>
      <family val="2"/>
      <scheme val="minor"/>
    </font>
    <font>
      <b/>
      <sz val="12"/>
      <color theme="0"/>
      <name val="Arial"/>
      <family val="2"/>
    </font>
    <font>
      <sz val="11"/>
      <name val="Calibri"/>
      <family val="2"/>
      <scheme val="minor"/>
    </font>
    <font>
      <i/>
      <sz val="10"/>
      <name val="Calibri"/>
      <family val="2"/>
      <scheme val="minor"/>
    </font>
    <font>
      <b/>
      <sz val="24"/>
      <color theme="0"/>
      <name val="Arial"/>
      <family val="2"/>
    </font>
    <font>
      <b/>
      <u/>
      <sz val="11"/>
      <color rgb="FFC00000"/>
      <name val="Arial"/>
      <family val="2"/>
    </font>
    <font>
      <b/>
      <u/>
      <sz val="12"/>
      <color rgb="FFC00000"/>
      <name val="Arial"/>
      <family val="2"/>
    </font>
    <font>
      <sz val="11"/>
      <color theme="1"/>
      <name val="Calibri"/>
      <family val="2"/>
      <scheme val="minor"/>
    </font>
    <font>
      <sz val="11"/>
      <color theme="1"/>
      <name val="Wingdings 3"/>
      <family val="1"/>
      <charset val="2"/>
    </font>
  </fonts>
  <fills count="9">
    <fill>
      <patternFill patternType="none"/>
    </fill>
    <fill>
      <patternFill patternType="gray125"/>
    </fill>
    <fill>
      <patternFill patternType="solid">
        <fgColor theme="6"/>
        <bgColor theme="6"/>
      </patternFill>
    </fill>
    <fill>
      <patternFill patternType="solid">
        <fgColor theme="6" tint="0.79998168889431442"/>
        <bgColor theme="6" tint="0.79998168889431442"/>
      </patternFill>
    </fill>
    <fill>
      <patternFill patternType="solid">
        <fgColor rgb="FFEDEDED"/>
        <bgColor theme="6" tint="0.79998168889431442"/>
      </patternFill>
    </fill>
    <fill>
      <patternFill patternType="solid">
        <fgColor rgb="FFA5A5A5"/>
        <bgColor theme="6"/>
      </patternFill>
    </fill>
    <fill>
      <patternFill patternType="solid">
        <fgColor rgb="FFEDEDED"/>
        <bgColor indexed="64"/>
      </patternFill>
    </fill>
    <fill>
      <patternFill patternType="solid">
        <fgColor rgb="FFA5A5A5"/>
        <bgColor indexed="64"/>
      </patternFill>
    </fill>
    <fill>
      <patternFill patternType="solid">
        <fgColor theme="1"/>
        <bgColor indexed="64"/>
      </patternFill>
    </fill>
  </fills>
  <borders count="24">
    <border>
      <left/>
      <right/>
      <top/>
      <bottom/>
      <diagonal/>
    </border>
    <border>
      <left/>
      <right style="thin">
        <color theme="6" tint="0.39994506668294322"/>
      </right>
      <top style="thin">
        <color theme="6" tint="0.39997558519241921"/>
      </top>
      <bottom/>
      <diagonal/>
    </border>
    <border>
      <left style="thin">
        <color theme="6" tint="0.39994506668294322"/>
      </left>
      <right/>
      <top style="thin">
        <color theme="6" tint="0.39997558519241921"/>
      </top>
      <bottom style="thin">
        <color theme="6" tint="0.39991454817346722"/>
      </bottom>
      <diagonal/>
    </border>
    <border>
      <left style="thin">
        <color theme="6" tint="0.39994506668294322"/>
      </left>
      <right/>
      <top style="thin">
        <color theme="6" tint="0.39991454817346722"/>
      </top>
      <bottom style="thin">
        <color theme="6" tint="0.39991454817346722"/>
      </bottom>
      <diagonal/>
    </border>
    <border>
      <left/>
      <right/>
      <top style="thin">
        <color theme="6" tint="0.39991454817346722"/>
      </top>
      <bottom style="thin">
        <color theme="6" tint="0.39991454817346722"/>
      </bottom>
      <diagonal/>
    </border>
    <border>
      <left/>
      <right style="thin">
        <color theme="6" tint="0.39991454817346722"/>
      </right>
      <top style="thin">
        <color theme="6" tint="0.39991454817346722"/>
      </top>
      <bottom style="thin">
        <color theme="6" tint="0.39991454817346722"/>
      </bottom>
      <diagonal/>
    </border>
    <border>
      <left/>
      <right/>
      <top style="thin">
        <color theme="6" tint="0.39988402966399123"/>
      </top>
      <bottom style="thin">
        <color theme="6" tint="0.39991454817346722"/>
      </bottom>
      <diagonal/>
    </border>
    <border>
      <left style="thin">
        <color theme="6" tint="0.39994506668294322"/>
      </left>
      <right/>
      <top style="thin">
        <color theme="6" tint="0.39994506668294322"/>
      </top>
      <bottom/>
      <diagonal/>
    </border>
    <border>
      <left/>
      <right/>
      <top style="thin">
        <color theme="6" tint="0.39994506668294322"/>
      </top>
      <bottom/>
      <diagonal/>
    </border>
    <border>
      <left/>
      <right style="thin">
        <color theme="6" tint="0.39994506668294322"/>
      </right>
      <top style="thin">
        <color theme="6" tint="0.39994506668294322"/>
      </top>
      <bottom/>
      <diagonal/>
    </border>
    <border>
      <left style="thin">
        <color theme="6" tint="0.39994506668294322"/>
      </left>
      <right/>
      <top style="thin">
        <color theme="6" tint="0.39997558519241921"/>
      </top>
      <bottom/>
      <diagonal/>
    </border>
    <border>
      <left/>
      <right style="thin">
        <color theme="6" tint="0.39994506668294322"/>
      </right>
      <top style="thin">
        <color theme="6" tint="0.39988402966399123"/>
      </top>
      <bottom style="thin">
        <color theme="6" tint="0.39991454817346722"/>
      </bottom>
      <diagonal/>
    </border>
    <border>
      <left/>
      <right style="thin">
        <color theme="6" tint="0.39994506668294322"/>
      </right>
      <top style="thin">
        <color theme="6" tint="0.39991454817346722"/>
      </top>
      <bottom style="thin">
        <color theme="6" tint="0.39991454817346722"/>
      </bottom>
      <diagonal/>
    </border>
    <border>
      <left style="thin">
        <color theme="6" tint="0.39994506668294322"/>
      </left>
      <right/>
      <top style="thin">
        <color theme="6" tint="0.39997558519241921"/>
      </top>
      <bottom style="thin">
        <color theme="6" tint="0.39994506668294322"/>
      </bottom>
      <diagonal/>
    </border>
    <border>
      <left/>
      <right style="thin">
        <color theme="6" tint="0.39994506668294322"/>
      </right>
      <top style="thin">
        <color theme="6" tint="0.39997558519241921"/>
      </top>
      <bottom style="thin">
        <color theme="6" tint="0.39994506668294322"/>
      </bottom>
      <diagonal/>
    </border>
    <border>
      <left style="thin">
        <color theme="6" tint="0.39994506668294322"/>
      </left>
      <right/>
      <top style="thin">
        <color theme="6" tint="0.39991454817346722"/>
      </top>
      <bottom style="thin">
        <color theme="6" tint="0.39994506668294322"/>
      </bottom>
      <diagonal/>
    </border>
    <border>
      <left/>
      <right/>
      <top style="thin">
        <color theme="6" tint="0.39991454817346722"/>
      </top>
      <bottom style="thin">
        <color theme="6" tint="0.39994506668294322"/>
      </bottom>
      <diagonal/>
    </border>
    <border>
      <left/>
      <right style="thin">
        <color theme="6" tint="0.39994506668294322"/>
      </right>
      <top style="thin">
        <color theme="6" tint="0.39991454817346722"/>
      </top>
      <bottom style="thin">
        <color theme="6" tint="0.39994506668294322"/>
      </bottom>
      <diagonal/>
    </border>
    <border>
      <left style="thin">
        <color rgb="FFC9C9C9"/>
      </left>
      <right/>
      <top style="thin">
        <color rgb="FFC9C9C9"/>
      </top>
      <bottom/>
      <diagonal/>
    </border>
    <border>
      <left/>
      <right style="thin">
        <color rgb="FFC9C9C9"/>
      </right>
      <top style="thin">
        <color rgb="FFC9C9C9"/>
      </top>
      <bottom/>
      <diagonal/>
    </border>
    <border>
      <left style="thin">
        <color theme="6" tint="0.39994506668294322"/>
      </left>
      <right style="thin">
        <color rgb="FFC9C9C9"/>
      </right>
      <top style="thin">
        <color theme="6" tint="0.39994506668294322"/>
      </top>
      <bottom style="thin">
        <color theme="6" tint="0.39994506668294322"/>
      </bottom>
      <diagonal/>
    </border>
    <border>
      <left style="thin">
        <color theme="6" tint="0.39994506668294322"/>
      </left>
      <right style="thin">
        <color rgb="FFC9C9C9"/>
      </right>
      <top style="thin">
        <color theme="6" tint="0.39994506668294322"/>
      </top>
      <bottom style="thin">
        <color rgb="FFC9C9C9"/>
      </bottom>
      <diagonal/>
    </border>
    <border>
      <left style="thin">
        <color rgb="FFC9C9C9"/>
      </left>
      <right style="thin">
        <color theme="6" tint="0.39994506668294322"/>
      </right>
      <top/>
      <bottom style="thin">
        <color rgb="FFC9C9C9"/>
      </bottom>
      <diagonal/>
    </border>
    <border>
      <left style="thin">
        <color rgb="FFC9C9C9"/>
      </left>
      <right style="thin">
        <color theme="6" tint="0.39994506668294322"/>
      </right>
      <top style="thin">
        <color rgb="FFC9C9C9"/>
      </top>
      <bottom style="thin">
        <color rgb="FFC9C9C9"/>
      </bottom>
      <diagonal/>
    </border>
  </borders>
  <cellStyleXfs count="2">
    <xf numFmtId="0" fontId="0" fillId="0" borderId="0"/>
    <xf numFmtId="9" fontId="8" fillId="0" borderId="0" applyFont="0" applyFill="0" applyBorder="0" applyAlignment="0" applyProtection="0"/>
  </cellStyleXfs>
  <cellXfs count="75">
    <xf numFmtId="0" fontId="0" fillId="0" borderId="0" xfId="0"/>
    <xf numFmtId="0" fontId="0" fillId="0" borderId="0" xfId="0" applyAlignment="1">
      <alignment horizontal="center"/>
    </xf>
    <xf numFmtId="164" fontId="0" fillId="0" borderId="0" xfId="0" applyNumberFormat="1" applyAlignment="1">
      <alignment horizontal="center"/>
    </xf>
    <xf numFmtId="0" fontId="0" fillId="0" borderId="0" xfId="0" applyAlignment="1">
      <alignment horizontal="left"/>
    </xf>
    <xf numFmtId="0" fontId="1"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164" fontId="0" fillId="0" borderId="0" xfId="0" applyNumberFormat="1" applyFill="1"/>
    <xf numFmtId="0" fontId="0" fillId="0" borderId="0" xfId="0" applyFill="1" applyBorder="1"/>
    <xf numFmtId="0" fontId="3" fillId="3" borderId="10" xfId="0" applyFont="1" applyFill="1" applyBorder="1" applyAlignment="1">
      <alignment horizontal="right"/>
    </xf>
    <xf numFmtId="0" fontId="3" fillId="3" borderId="1" xfId="0" applyFont="1" applyFill="1" applyBorder="1" applyAlignment="1">
      <alignment horizontal="right"/>
    </xf>
    <xf numFmtId="0" fontId="3" fillId="3" borderId="2" xfId="0" applyFont="1" applyFill="1" applyBorder="1" applyAlignment="1">
      <alignment horizontal="left"/>
    </xf>
    <xf numFmtId="0" fontId="3" fillId="0" borderId="10" xfId="0" applyFont="1" applyBorder="1" applyAlignment="1">
      <alignment horizontal="right"/>
    </xf>
    <xf numFmtId="0" fontId="3" fillId="0" borderId="1" xfId="0" applyFont="1" applyBorder="1" applyAlignment="1">
      <alignment horizontal="right"/>
    </xf>
    <xf numFmtId="0" fontId="3" fillId="0" borderId="3" xfId="0" applyFont="1" applyBorder="1" applyAlignment="1">
      <alignment horizontal="left"/>
    </xf>
    <xf numFmtId="0" fontId="3" fillId="3" borderId="10" xfId="0" applyFont="1" applyFill="1" applyBorder="1" applyAlignment="1">
      <alignment horizontal="right" vertical="center" wrapText="1"/>
    </xf>
    <xf numFmtId="0" fontId="3" fillId="3" borderId="1" xfId="0" applyFont="1" applyFill="1" applyBorder="1" applyAlignment="1">
      <alignment horizontal="right" vertical="center" wrapText="1"/>
    </xf>
    <xf numFmtId="0" fontId="3" fillId="3" borderId="3" xfId="0" applyFont="1" applyFill="1" applyBorder="1" applyAlignment="1">
      <alignment horizontal="left" vertical="center" wrapText="1"/>
    </xf>
    <xf numFmtId="0" fontId="3" fillId="0" borderId="10" xfId="0" applyFont="1" applyBorder="1" applyAlignment="1">
      <alignment horizontal="right" vertical="center" wrapText="1"/>
    </xf>
    <xf numFmtId="0" fontId="3" fillId="0" borderId="1" xfId="0" applyFont="1" applyBorder="1" applyAlignment="1">
      <alignment horizontal="right" vertical="center" wrapText="1"/>
    </xf>
    <xf numFmtId="0" fontId="3" fillId="0" borderId="3" xfId="0" applyFont="1" applyBorder="1" applyAlignment="1">
      <alignment horizontal="left" vertical="center" wrapText="1"/>
    </xf>
    <xf numFmtId="0" fontId="3" fillId="3" borderId="3" xfId="0" applyFont="1" applyFill="1" applyBorder="1" applyAlignment="1">
      <alignment horizontal="left"/>
    </xf>
    <xf numFmtId="164" fontId="4" fillId="0" borderId="12" xfId="0" applyNumberFormat="1" applyFont="1" applyBorder="1" applyAlignment="1">
      <alignment horizontal="left"/>
    </xf>
    <xf numFmtId="0" fontId="3" fillId="3" borderId="13" xfId="0" applyFont="1" applyFill="1" applyBorder="1" applyAlignment="1">
      <alignment horizontal="right"/>
    </xf>
    <xf numFmtId="0" fontId="3" fillId="3" borderId="14" xfId="0" applyFont="1" applyFill="1" applyBorder="1" applyAlignment="1">
      <alignment horizontal="right"/>
    </xf>
    <xf numFmtId="0" fontId="3" fillId="3" borderId="15" xfId="0" applyFont="1" applyFill="1" applyBorder="1" applyAlignment="1">
      <alignment horizontal="left"/>
    </xf>
    <xf numFmtId="0" fontId="0" fillId="0" borderId="0" xfId="0" applyAlignment="1">
      <alignment horizontal="left" indent="1"/>
    </xf>
    <xf numFmtId="0" fontId="0" fillId="0" borderId="0" xfId="0" applyAlignment="1">
      <alignment horizontal="left" indent="2"/>
    </xf>
    <xf numFmtId="0" fontId="0" fillId="0" borderId="22" xfId="0" applyBorder="1" applyAlignment="1">
      <alignment horizontal="right"/>
    </xf>
    <xf numFmtId="0" fontId="0" fillId="0" borderId="0" xfId="0" pivotButton="1"/>
    <xf numFmtId="164" fontId="0" fillId="0" borderId="0" xfId="0" applyNumberFormat="1" applyAlignment="1">
      <alignment horizontal="left" indent="1"/>
    </xf>
    <xf numFmtId="0" fontId="0" fillId="0" borderId="0" xfId="0" applyNumberFormat="1"/>
    <xf numFmtId="165" fontId="0" fillId="0" borderId="0" xfId="0" applyNumberFormat="1"/>
    <xf numFmtId="0" fontId="0" fillId="0" borderId="0" xfId="0" applyAlignment="1"/>
    <xf numFmtId="0" fontId="6" fillId="0" borderId="0" xfId="0" applyFont="1"/>
    <xf numFmtId="0" fontId="7" fillId="0" borderId="0" xfId="0" applyFont="1"/>
    <xf numFmtId="0" fontId="0" fillId="6" borderId="20" xfId="0" applyNumberFormat="1" applyFont="1" applyFill="1" applyBorder="1" applyAlignment="1" applyProtection="1">
      <alignment horizontal="center"/>
      <protection locked="0"/>
    </xf>
    <xf numFmtId="0" fontId="0" fillId="6" borderId="21" xfId="0" applyNumberFormat="1" applyFont="1" applyFill="1" applyBorder="1" applyAlignment="1" applyProtection="1">
      <alignment horizontal="center"/>
      <protection locked="0"/>
    </xf>
    <xf numFmtId="0" fontId="0" fillId="0" borderId="23" xfId="0" applyBorder="1" applyAlignment="1">
      <alignment horizontal="right"/>
    </xf>
    <xf numFmtId="0" fontId="9" fillId="0" borderId="0" xfId="0" applyFont="1"/>
    <xf numFmtId="0" fontId="0" fillId="8" borderId="0" xfId="0" applyFill="1" applyBorder="1"/>
    <xf numFmtId="0" fontId="0" fillId="8" borderId="0" xfId="0" applyFill="1" applyBorder="1" applyAlignment="1"/>
    <xf numFmtId="0" fontId="0" fillId="0" borderId="0" xfId="0" applyAlignment="1">
      <alignment horizontal="right"/>
    </xf>
    <xf numFmtId="166" fontId="0" fillId="0" borderId="0" xfId="0" applyNumberFormat="1"/>
    <xf numFmtId="9" fontId="0" fillId="0" borderId="0" xfId="1" applyFont="1"/>
    <xf numFmtId="9" fontId="0" fillId="0" borderId="0" xfId="1" applyNumberFormat="1" applyFont="1"/>
    <xf numFmtId="9" fontId="0" fillId="0" borderId="0" xfId="0" applyNumberFormat="1"/>
    <xf numFmtId="0" fontId="5" fillId="7" borderId="0" xfId="0" applyFont="1" applyFill="1" applyAlignment="1">
      <alignment horizontal="center" vertical="center"/>
    </xf>
    <xf numFmtId="0" fontId="2" fillId="2" borderId="18" xfId="0" applyFont="1" applyFill="1" applyBorder="1" applyAlignment="1">
      <alignment horizontal="center" vertical="center" wrapText="1"/>
    </xf>
    <xf numFmtId="0" fontId="2" fillId="2" borderId="19" xfId="0" applyFont="1" applyFill="1" applyBorder="1" applyAlignment="1">
      <alignment horizontal="center" vertical="center" wrapText="1"/>
    </xf>
    <xf numFmtId="0" fontId="6" fillId="0" borderId="0" xfId="0" applyFont="1" applyAlignment="1">
      <alignment horizontal="left"/>
    </xf>
    <xf numFmtId="0" fontId="3" fillId="0" borderId="4"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2" fillId="5" borderId="7" xfId="0" applyFont="1" applyFill="1" applyBorder="1" applyAlignment="1">
      <alignment horizontal="center" vertical="center"/>
    </xf>
    <xf numFmtId="0" fontId="2" fillId="5" borderId="8" xfId="0" applyFont="1" applyFill="1" applyBorder="1" applyAlignment="1">
      <alignment horizontal="center" vertical="center"/>
    </xf>
    <xf numFmtId="0" fontId="2" fillId="5" borderId="9" xfId="0" applyFont="1" applyFill="1" applyBorder="1" applyAlignment="1">
      <alignment horizontal="center" vertical="center"/>
    </xf>
    <xf numFmtId="164" fontId="3" fillId="4" borderId="6" xfId="0" applyNumberFormat="1" applyFont="1" applyFill="1" applyBorder="1" applyAlignment="1" applyProtection="1">
      <alignment horizontal="left"/>
      <protection locked="0"/>
    </xf>
    <xf numFmtId="164" fontId="3" fillId="4" borderId="11" xfId="0" applyNumberFormat="1" applyFont="1" applyFill="1" applyBorder="1" applyAlignment="1" applyProtection="1">
      <alignment horizontal="left"/>
      <protection locked="0"/>
    </xf>
    <xf numFmtId="0" fontId="3" fillId="0" borderId="4" xfId="0" applyFont="1" applyBorder="1" applyAlignment="1" applyProtection="1">
      <alignment horizontal="left"/>
      <protection locked="0"/>
    </xf>
    <xf numFmtId="0" fontId="3" fillId="0" borderId="12" xfId="0" applyFont="1" applyBorder="1" applyAlignment="1" applyProtection="1">
      <alignment horizontal="left"/>
      <protection locked="0"/>
    </xf>
    <xf numFmtId="0" fontId="3" fillId="3" borderId="4" xfId="0" applyFont="1" applyFill="1" applyBorder="1" applyAlignment="1" applyProtection="1">
      <alignment horizontal="left" vertical="top" wrapText="1"/>
      <protection locked="0"/>
    </xf>
    <xf numFmtId="0" fontId="3" fillId="3" borderId="12" xfId="0" applyFont="1" applyFill="1" applyBorder="1" applyAlignment="1" applyProtection="1">
      <alignment horizontal="left" vertical="top" wrapText="1"/>
      <protection locked="0"/>
    </xf>
    <xf numFmtId="0" fontId="3" fillId="3" borderId="4" xfId="0" applyFont="1" applyFill="1" applyBorder="1" applyAlignment="1" applyProtection="1">
      <alignment horizontal="left"/>
      <protection locked="0"/>
    </xf>
    <xf numFmtId="0" fontId="3" fillId="3" borderId="12" xfId="0" applyFont="1" applyFill="1" applyBorder="1" applyAlignment="1" applyProtection="1">
      <alignment horizontal="left"/>
      <protection locked="0"/>
    </xf>
    <xf numFmtId="0" fontId="3" fillId="3" borderId="16" xfId="0" applyFont="1" applyFill="1" applyBorder="1" applyAlignment="1" applyProtection="1">
      <alignment horizontal="left"/>
      <protection locked="0"/>
    </xf>
    <xf numFmtId="0" fontId="3" fillId="3" borderId="17" xfId="0" applyFont="1" applyFill="1" applyBorder="1" applyAlignment="1" applyProtection="1">
      <alignment horizontal="left"/>
      <protection locked="0"/>
    </xf>
    <xf numFmtId="164" fontId="3" fillId="0" borderId="3" xfId="0" applyNumberFormat="1" applyFont="1" applyBorder="1" applyAlignment="1" applyProtection="1">
      <alignment horizontal="center" vertical="center"/>
      <protection locked="0"/>
    </xf>
    <xf numFmtId="164" fontId="3" fillId="0" borderId="5" xfId="0" applyNumberFormat="1" applyFont="1" applyBorder="1" applyAlignment="1" applyProtection="1">
      <alignment horizontal="center" vertical="center"/>
      <protection locked="0"/>
    </xf>
    <xf numFmtId="164" fontId="3" fillId="0" borderId="4" xfId="0" applyNumberFormat="1" applyFont="1" applyBorder="1" applyAlignment="1" applyProtection="1">
      <alignment horizontal="left"/>
      <protection locked="0"/>
    </xf>
    <xf numFmtId="164" fontId="3" fillId="0" borderId="12" xfId="0" applyNumberFormat="1" applyFont="1" applyBorder="1" applyAlignment="1" applyProtection="1">
      <alignment horizontal="left"/>
      <protection locked="0"/>
    </xf>
    <xf numFmtId="164" fontId="3" fillId="3" borderId="4" xfId="0" applyNumberFormat="1" applyFont="1" applyFill="1" applyBorder="1" applyAlignment="1" applyProtection="1">
      <alignment horizontal="left"/>
      <protection locked="0"/>
    </xf>
    <xf numFmtId="164" fontId="3" fillId="3" borderId="12" xfId="0" applyNumberFormat="1" applyFont="1" applyFill="1" applyBorder="1" applyAlignment="1" applyProtection="1">
      <alignment horizontal="left"/>
      <protection locked="0"/>
    </xf>
    <xf numFmtId="0" fontId="0" fillId="8" borderId="0" xfId="0" applyFill="1" applyBorder="1" applyAlignment="1">
      <alignment horizontal="center"/>
    </xf>
  </cellXfs>
  <cellStyles count="2">
    <cellStyle name="Normal" xfId="0" builtinId="0"/>
    <cellStyle name="Percent" xfId="1" builtinId="5"/>
  </cellStyles>
  <dxfs count="24">
    <dxf>
      <numFmt numFmtId="165" formatCode="mmmm"/>
    </dxf>
    <dxf>
      <alignment horizontal="left" readingOrder="0"/>
    </dxf>
    <dxf>
      <alignment horizontal="center"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409]d\-mmm\-yy;@"/>
      <alignment horizontal="center" vertical="bottom" textRotation="0" wrapText="0" indent="0" justifyLastLine="0" shrinkToFit="0" readingOrder="0"/>
    </dxf>
    <dxf>
      <numFmt numFmtId="164" formatCode="[$-409]d\-mmm\-yy;@"/>
      <alignment horizontal="center" vertical="bottom" textRotation="0" wrapText="0" indent="0" justifyLastLine="0" shrinkToFit="0" readingOrder="0"/>
    </dxf>
    <dxf>
      <numFmt numFmtId="164" formatCode="[$-409]d\-mmm\-yy;@"/>
      <alignment horizontal="center" vertical="bottom" textRotation="0" wrapText="0" indent="0" justifyLastLine="0" shrinkToFit="0" readingOrder="0"/>
    </dxf>
    <dxf>
      <numFmt numFmtId="164" formatCode="[$-409]d\-mmm\-yy;@"/>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409]d\-mmm\-yy;@"/>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2" justifyLastLine="0" shrinkToFit="0" readingOrder="0"/>
    </dxf>
    <dxf>
      <alignment horizontal="center" vertical="bottom" textRotation="0" wrapText="0" indent="0" justifyLastLine="0" shrinkToFit="0" readingOrder="0"/>
    </dxf>
    <dxf>
      <numFmt numFmtId="164" formatCode="[$-409]d\-mmm\-yy;@"/>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z val="12"/>
        <color rgb="FFFFFFFF"/>
        <name val="Arial"/>
        <scheme val="none"/>
      </font>
      <border>
        <bottom style="thin">
          <color theme="4"/>
        </bottom>
        <vertical/>
        <horizontal/>
      </border>
    </dxf>
    <dxf>
      <font>
        <color theme="1"/>
      </font>
      <fill>
        <patternFill>
          <bgColor rgb="FF3D405B"/>
        </patternFill>
      </fill>
      <border diagonalUp="0" diagonalDown="0">
        <left/>
        <right/>
        <top/>
        <bottom/>
        <vertical/>
        <horizontal/>
      </border>
    </dxf>
  </dxfs>
  <tableStyles count="1" defaultTableStyle="TableStyleMedium2" defaultPivotStyle="PivotStyleLight16">
    <tableStyle name="SlicerStyleLight1 2" pivot="0" table="0" count="10">
      <tableStyleElement type="wholeTable" dxfId="23"/>
      <tableStyleElement type="headerRow" dxfId="22"/>
    </tableStyle>
  </tableStyles>
  <colors>
    <mruColors>
      <color rgb="FF81B29A"/>
      <color rgb="FFE07A5F"/>
      <color rgb="FFF2CC8F"/>
      <color rgb="FF4C4F70"/>
      <color rgb="FF5E628C"/>
      <color rgb="FFCBDFD5"/>
      <color rgb="FFEDEDED"/>
      <color rgb="FF3D405B"/>
      <color rgb="FFF4F1DE"/>
      <color rgb="FFA5A5A5"/>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FFFFFF"/>
          </font>
          <fill>
            <patternFill patternType="solid">
              <fgColor auto="1"/>
              <bgColor rgb="FF81B29A"/>
            </patternFill>
          </fill>
          <border diagonalUp="0" diagonalDown="0">
            <left/>
            <right/>
            <top/>
            <bottom/>
            <vertical/>
            <horizontal/>
          </border>
        </dxf>
        <dxf>
          <font>
            <color rgb="FFFFFFFF"/>
          </font>
          <fill>
            <patternFill patternType="solid">
              <fgColor auto="1"/>
              <bgColor rgb="FFF2CC8F"/>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theme="0"/>
          </font>
          <fill>
            <patternFill patternType="solid">
              <fgColor theme="4" tint="0.59999389629810485"/>
              <bgColor rgb="FF81B29A"/>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81B29A"/>
          </font>
          <fill>
            <patternFill patternType="solid">
              <fgColor rgb="FFFFFFFF"/>
              <bgColor rgb="FFFAF9F0"/>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7/relationships/slicerCache" Target="slicerCaches/slicerCache9.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microsoft.com/office/2007/relationships/slicerCache" Target="slicerCaches/slicerCache6.xml"/><Relationship Id="rId23" Type="http://schemas.microsoft.com/office/2006/relationships/vbaProject" Target="vbaProject.bin"/><Relationship Id="rId10" Type="http://schemas.microsoft.com/office/2007/relationships/slicerCache" Target="slicerCaches/slicerCache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 - Hub.xlsm]Current Month Pivots!PivotTable7</c:name>
    <c:fmtId val="2"/>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rgbClr val="F2CC8F"/>
          </a:solidFill>
          <a:ln>
            <a:noFill/>
          </a:ln>
          <a:effectLst/>
        </c:spPr>
        <c:marker>
          <c:spPr>
            <a:solidFill>
              <a:schemeClr val="accent1"/>
            </a:solidFill>
            <a:ln w="9525">
              <a:solidFill>
                <a:schemeClr val="accent1"/>
              </a:solidFill>
            </a:ln>
            <a:effectLst/>
          </c:spPr>
        </c:marker>
      </c:pivotFmt>
      <c:pivotFmt>
        <c:idx val="3"/>
        <c:spPr>
          <a:solidFill>
            <a:srgbClr val="81B29A"/>
          </a:solidFill>
          <a:ln>
            <a:noFill/>
          </a:ln>
          <a:effectLst/>
        </c:spPr>
        <c:marker>
          <c:symbol val="none"/>
        </c:marker>
      </c:pivotFmt>
    </c:pivotFmts>
    <c:plotArea>
      <c:layout/>
      <c:barChart>
        <c:barDir val="col"/>
        <c:grouping val="clustered"/>
        <c:varyColors val="0"/>
        <c:ser>
          <c:idx val="0"/>
          <c:order val="0"/>
          <c:tx>
            <c:strRef>
              <c:f>'Current Month Pivots'!$L$8</c:f>
              <c:strCache>
                <c:ptCount val="1"/>
                <c:pt idx="0">
                  <c:v>Total</c:v>
                </c:pt>
              </c:strCache>
            </c:strRef>
          </c:tx>
          <c:spPr>
            <a:solidFill>
              <a:srgbClr val="81B29A"/>
            </a:solidFill>
            <a:ln>
              <a:noFill/>
            </a:ln>
            <a:effectLst/>
          </c:spPr>
          <c:invertIfNegative val="0"/>
          <c:cat>
            <c:strRef>
              <c:f>'Current Month Pivots'!$K$9:$K$12</c:f>
              <c:strCache>
                <c:ptCount val="3"/>
                <c:pt idx="0">
                  <c:v>Green</c:v>
                </c:pt>
                <c:pt idx="1">
                  <c:v>Red</c:v>
                </c:pt>
                <c:pt idx="2">
                  <c:v>Yellow</c:v>
                </c:pt>
              </c:strCache>
            </c:strRef>
          </c:cat>
          <c:val>
            <c:numRef>
              <c:f>'Current Month Pivots'!$L$9:$L$12</c:f>
              <c:numCache>
                <c:formatCode>General</c:formatCode>
                <c:ptCount val="3"/>
                <c:pt idx="0">
                  <c:v>3</c:v>
                </c:pt>
                <c:pt idx="1">
                  <c:v>3</c:v>
                </c:pt>
                <c:pt idx="2">
                  <c:v>1</c:v>
                </c:pt>
              </c:numCache>
            </c:numRef>
          </c:val>
          <c:extLst>
            <c:ext xmlns:c16="http://schemas.microsoft.com/office/drawing/2014/chart" uri="{C3380CC4-5D6E-409C-BE32-E72D297353CC}">
              <c16:uniqueId val="{00000000-BF1B-41DC-8DA0-CBE603F2B385}"/>
            </c:ext>
          </c:extLst>
        </c:ser>
        <c:dLbls>
          <c:showLegendKey val="0"/>
          <c:showVal val="0"/>
          <c:showCatName val="0"/>
          <c:showSerName val="0"/>
          <c:showPercent val="0"/>
          <c:showBubbleSize val="0"/>
        </c:dLbls>
        <c:gapWidth val="219"/>
        <c:overlap val="-27"/>
        <c:axId val="220264448"/>
        <c:axId val="187810368"/>
      </c:barChart>
      <c:catAx>
        <c:axId val="22026444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7810368"/>
        <c:crosses val="autoZero"/>
        <c:auto val="1"/>
        <c:lblAlgn val="ctr"/>
        <c:lblOffset val="100"/>
        <c:noMultiLvlLbl val="0"/>
      </c:catAx>
      <c:valAx>
        <c:axId val="187810368"/>
        <c:scaling>
          <c:orientation val="minMax"/>
        </c:scaling>
        <c:delete val="0"/>
        <c:axPos val="l"/>
        <c:majorGridlines>
          <c:spPr>
            <a:ln w="9525" cap="flat" cmpd="sng" algn="ctr">
              <a:solidFill>
                <a:srgbClr val="81B29A"/>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02644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 - Hub.xlsm]Current Month Pivots!PivotTable5</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E07A5F"/>
          </a:solidFill>
          <a:ln>
            <a:noFill/>
          </a:ln>
          <a:effectLst/>
        </c:spPr>
        <c:marker>
          <c:symbol val="none"/>
        </c:marker>
      </c:pivotFmt>
    </c:pivotFmts>
    <c:plotArea>
      <c:layout/>
      <c:barChart>
        <c:barDir val="col"/>
        <c:grouping val="clustered"/>
        <c:varyColors val="0"/>
        <c:ser>
          <c:idx val="0"/>
          <c:order val="0"/>
          <c:tx>
            <c:strRef>
              <c:f>'Current Month Pivots'!$L$15</c:f>
              <c:strCache>
                <c:ptCount val="1"/>
                <c:pt idx="0">
                  <c:v>Total</c:v>
                </c:pt>
              </c:strCache>
            </c:strRef>
          </c:tx>
          <c:spPr>
            <a:solidFill>
              <a:srgbClr val="E07A5F"/>
            </a:solidFill>
            <a:ln>
              <a:noFill/>
            </a:ln>
            <a:effectLst/>
          </c:spPr>
          <c:invertIfNegative val="0"/>
          <c:cat>
            <c:strRef>
              <c:f>'Current Month Pivots'!$K$16:$K$19</c:f>
              <c:strCache>
                <c:ptCount val="3"/>
                <c:pt idx="0">
                  <c:v>High</c:v>
                </c:pt>
                <c:pt idx="1">
                  <c:v>Low</c:v>
                </c:pt>
                <c:pt idx="2">
                  <c:v>Medium</c:v>
                </c:pt>
              </c:strCache>
            </c:strRef>
          </c:cat>
          <c:val>
            <c:numRef>
              <c:f>'Current Month Pivots'!$L$16:$L$19</c:f>
              <c:numCache>
                <c:formatCode>General</c:formatCode>
                <c:ptCount val="3"/>
                <c:pt idx="0">
                  <c:v>1</c:v>
                </c:pt>
                <c:pt idx="1">
                  <c:v>3</c:v>
                </c:pt>
                <c:pt idx="2">
                  <c:v>3</c:v>
                </c:pt>
              </c:numCache>
            </c:numRef>
          </c:val>
          <c:extLst>
            <c:ext xmlns:c16="http://schemas.microsoft.com/office/drawing/2014/chart" uri="{C3380CC4-5D6E-409C-BE32-E72D297353CC}">
              <c16:uniqueId val="{00000000-96F9-4E15-BE4D-1F3B39DCF736}"/>
            </c:ext>
          </c:extLst>
        </c:ser>
        <c:dLbls>
          <c:showLegendKey val="0"/>
          <c:showVal val="0"/>
          <c:showCatName val="0"/>
          <c:showSerName val="0"/>
          <c:showPercent val="0"/>
          <c:showBubbleSize val="0"/>
        </c:dLbls>
        <c:gapWidth val="219"/>
        <c:overlap val="-27"/>
        <c:axId val="220265984"/>
        <c:axId val="187812096"/>
      </c:barChart>
      <c:catAx>
        <c:axId val="22026598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7812096"/>
        <c:crosses val="autoZero"/>
        <c:auto val="1"/>
        <c:lblAlgn val="ctr"/>
        <c:lblOffset val="100"/>
        <c:noMultiLvlLbl val="0"/>
      </c:catAx>
      <c:valAx>
        <c:axId val="187812096"/>
        <c:scaling>
          <c:orientation val="minMax"/>
        </c:scaling>
        <c:delete val="0"/>
        <c:axPos val="l"/>
        <c:majorGridlines>
          <c:spPr>
            <a:ln w="9525" cap="flat" cmpd="sng" algn="ctr">
              <a:solidFill>
                <a:srgbClr val="81B29A"/>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02659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 - Hub.xlsm]Current Month Pivots!PivotTable9</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F2CC8F"/>
          </a:solidFill>
          <a:ln>
            <a:noFill/>
          </a:ln>
          <a:effectLst/>
        </c:spPr>
        <c:marker>
          <c:symbol val="none"/>
        </c:marker>
      </c:pivotFmt>
    </c:pivotFmts>
    <c:plotArea>
      <c:layout/>
      <c:barChart>
        <c:barDir val="bar"/>
        <c:grouping val="clustered"/>
        <c:varyColors val="0"/>
        <c:ser>
          <c:idx val="0"/>
          <c:order val="0"/>
          <c:tx>
            <c:strRef>
              <c:f>'Current Month Pivots'!$O$3</c:f>
              <c:strCache>
                <c:ptCount val="1"/>
                <c:pt idx="0">
                  <c:v>Total</c:v>
                </c:pt>
              </c:strCache>
            </c:strRef>
          </c:tx>
          <c:spPr>
            <a:solidFill>
              <a:srgbClr val="F2CC8F"/>
            </a:solidFill>
            <a:ln>
              <a:noFill/>
            </a:ln>
            <a:effectLst/>
          </c:spPr>
          <c:invertIfNegative val="0"/>
          <c:cat>
            <c:strRef>
              <c:f>'Current Month Pivots'!$N$4:$N$7</c:f>
              <c:strCache>
                <c:ptCount val="3"/>
                <c:pt idx="0">
                  <c:v>John</c:v>
                </c:pt>
                <c:pt idx="1">
                  <c:v>Phil</c:v>
                </c:pt>
                <c:pt idx="2">
                  <c:v>Jenny</c:v>
                </c:pt>
              </c:strCache>
            </c:strRef>
          </c:cat>
          <c:val>
            <c:numRef>
              <c:f>'Current Month Pivots'!$O$4:$O$7</c:f>
              <c:numCache>
                <c:formatCode>General</c:formatCode>
                <c:ptCount val="3"/>
                <c:pt idx="0">
                  <c:v>3</c:v>
                </c:pt>
                <c:pt idx="1">
                  <c:v>2</c:v>
                </c:pt>
                <c:pt idx="2">
                  <c:v>2</c:v>
                </c:pt>
              </c:numCache>
            </c:numRef>
          </c:val>
          <c:extLst>
            <c:ext xmlns:c16="http://schemas.microsoft.com/office/drawing/2014/chart" uri="{C3380CC4-5D6E-409C-BE32-E72D297353CC}">
              <c16:uniqueId val="{00000000-852B-42C0-9833-117319F2EDA2}"/>
            </c:ext>
          </c:extLst>
        </c:ser>
        <c:dLbls>
          <c:showLegendKey val="0"/>
          <c:showVal val="0"/>
          <c:showCatName val="0"/>
          <c:showSerName val="0"/>
          <c:showPercent val="0"/>
          <c:showBubbleSize val="0"/>
        </c:dLbls>
        <c:gapWidth val="182"/>
        <c:axId val="221343744"/>
        <c:axId val="187813824"/>
      </c:barChart>
      <c:catAx>
        <c:axId val="221343744"/>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87813824"/>
        <c:crosses val="autoZero"/>
        <c:auto val="1"/>
        <c:lblAlgn val="ctr"/>
        <c:lblOffset val="100"/>
        <c:noMultiLvlLbl val="0"/>
      </c:catAx>
      <c:valAx>
        <c:axId val="187813824"/>
        <c:scaling>
          <c:orientation val="minMax"/>
        </c:scaling>
        <c:delete val="0"/>
        <c:axPos val="b"/>
        <c:majorGridlines>
          <c:spPr>
            <a:ln w="9525" cap="flat" cmpd="sng" algn="ctr">
              <a:solidFill>
                <a:srgbClr val="81B29A"/>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13437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E07A5F"/>
            </a:solidFill>
            <a:ln>
              <a:noFill/>
            </a:ln>
            <a:effectLst/>
          </c:spPr>
          <c:invertIfNegative val="0"/>
          <c:val>
            <c:numRef>
              <c:f>'Current Month Pivots'!$V$11</c:f>
              <c:numCache>
                <c:formatCode>0%</c:formatCode>
                <c:ptCount val="1"/>
                <c:pt idx="0">
                  <c:v>0.42857142857142855</c:v>
                </c:pt>
              </c:numCache>
            </c:numRef>
          </c:val>
          <c:extLst>
            <c:ext xmlns:c16="http://schemas.microsoft.com/office/drawing/2014/chart" uri="{C3380CC4-5D6E-409C-BE32-E72D297353CC}">
              <c16:uniqueId val="{00000000-0FE5-456E-AB8B-F2DCCCC0C32A}"/>
            </c:ext>
          </c:extLst>
        </c:ser>
        <c:ser>
          <c:idx val="1"/>
          <c:order val="1"/>
          <c:spPr>
            <a:solidFill>
              <a:srgbClr val="81B29A"/>
            </a:solidFill>
            <a:ln>
              <a:noFill/>
            </a:ln>
            <a:effectLst/>
          </c:spPr>
          <c:invertIfNegative val="0"/>
          <c:val>
            <c:numRef>
              <c:f>'Current Month Pivots'!$W$11</c:f>
              <c:numCache>
                <c:formatCode>0%</c:formatCode>
                <c:ptCount val="1"/>
                <c:pt idx="0">
                  <c:v>0.5714285714285714</c:v>
                </c:pt>
              </c:numCache>
            </c:numRef>
          </c:val>
          <c:extLst>
            <c:ext xmlns:c16="http://schemas.microsoft.com/office/drawing/2014/chart" uri="{C3380CC4-5D6E-409C-BE32-E72D297353CC}">
              <c16:uniqueId val="{00000001-0FE5-456E-AB8B-F2DCCCC0C32A}"/>
            </c:ext>
          </c:extLst>
        </c:ser>
        <c:dLbls>
          <c:showLegendKey val="0"/>
          <c:showVal val="0"/>
          <c:showCatName val="0"/>
          <c:showSerName val="0"/>
          <c:showPercent val="0"/>
          <c:showBubbleSize val="0"/>
        </c:dLbls>
        <c:gapWidth val="0"/>
        <c:overlap val="100"/>
        <c:axId val="221344256"/>
        <c:axId val="187815552"/>
      </c:barChart>
      <c:catAx>
        <c:axId val="221344256"/>
        <c:scaling>
          <c:orientation val="minMax"/>
        </c:scaling>
        <c:delete val="1"/>
        <c:axPos val="l"/>
        <c:numFmt formatCode="General" sourceLinked="1"/>
        <c:majorTickMark val="out"/>
        <c:minorTickMark val="none"/>
        <c:tickLblPos val="nextTo"/>
        <c:crossAx val="187815552"/>
        <c:crosses val="autoZero"/>
        <c:auto val="1"/>
        <c:lblAlgn val="ctr"/>
        <c:lblOffset val="100"/>
        <c:noMultiLvlLbl val="0"/>
      </c:catAx>
      <c:valAx>
        <c:axId val="187815552"/>
        <c:scaling>
          <c:orientation val="minMax"/>
          <c:max val="1"/>
        </c:scaling>
        <c:delete val="1"/>
        <c:axPos val="b"/>
        <c:numFmt formatCode="0%" sourceLinked="1"/>
        <c:majorTickMark val="out"/>
        <c:minorTickMark val="none"/>
        <c:tickLblPos val="nextTo"/>
        <c:crossAx val="221344256"/>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E07A5F"/>
            </a:solidFill>
            <a:ln>
              <a:noFill/>
            </a:ln>
            <a:effectLst/>
          </c:spPr>
          <c:invertIfNegative val="0"/>
          <c:val>
            <c:numRef>
              <c:f>'Current Month Pivots'!$V$12</c:f>
              <c:numCache>
                <c:formatCode>0%</c:formatCode>
                <c:ptCount val="1"/>
                <c:pt idx="0">
                  <c:v>0.42857142857142855</c:v>
                </c:pt>
              </c:numCache>
            </c:numRef>
          </c:val>
          <c:extLst>
            <c:ext xmlns:c16="http://schemas.microsoft.com/office/drawing/2014/chart" uri="{C3380CC4-5D6E-409C-BE32-E72D297353CC}">
              <c16:uniqueId val="{00000000-AAF2-4EC4-8F96-C8935DCCEB6F}"/>
            </c:ext>
          </c:extLst>
        </c:ser>
        <c:ser>
          <c:idx val="1"/>
          <c:order val="1"/>
          <c:spPr>
            <a:solidFill>
              <a:srgbClr val="81B29A"/>
            </a:solidFill>
            <a:ln>
              <a:noFill/>
            </a:ln>
            <a:effectLst/>
          </c:spPr>
          <c:invertIfNegative val="0"/>
          <c:val>
            <c:numRef>
              <c:f>'Current Month Pivots'!$W$12</c:f>
              <c:numCache>
                <c:formatCode>0%</c:formatCode>
                <c:ptCount val="1"/>
                <c:pt idx="0">
                  <c:v>0.5714285714285714</c:v>
                </c:pt>
              </c:numCache>
            </c:numRef>
          </c:val>
          <c:extLst>
            <c:ext xmlns:c16="http://schemas.microsoft.com/office/drawing/2014/chart" uri="{C3380CC4-5D6E-409C-BE32-E72D297353CC}">
              <c16:uniqueId val="{00000001-AAF2-4EC4-8F96-C8935DCCEB6F}"/>
            </c:ext>
          </c:extLst>
        </c:ser>
        <c:dLbls>
          <c:showLegendKey val="0"/>
          <c:showVal val="0"/>
          <c:showCatName val="0"/>
          <c:showSerName val="0"/>
          <c:showPercent val="0"/>
          <c:showBubbleSize val="0"/>
        </c:dLbls>
        <c:gapWidth val="0"/>
        <c:overlap val="100"/>
        <c:axId val="221345280"/>
        <c:axId val="187817280"/>
      </c:barChart>
      <c:catAx>
        <c:axId val="221345280"/>
        <c:scaling>
          <c:orientation val="minMax"/>
        </c:scaling>
        <c:delete val="1"/>
        <c:axPos val="l"/>
        <c:numFmt formatCode="General" sourceLinked="1"/>
        <c:majorTickMark val="out"/>
        <c:minorTickMark val="none"/>
        <c:tickLblPos val="nextTo"/>
        <c:crossAx val="187817280"/>
        <c:crosses val="autoZero"/>
        <c:auto val="1"/>
        <c:lblAlgn val="ctr"/>
        <c:lblOffset val="100"/>
        <c:noMultiLvlLbl val="0"/>
      </c:catAx>
      <c:valAx>
        <c:axId val="187817280"/>
        <c:scaling>
          <c:orientation val="minMax"/>
          <c:max val="1"/>
        </c:scaling>
        <c:delete val="1"/>
        <c:axPos val="b"/>
        <c:numFmt formatCode="0%" sourceLinked="1"/>
        <c:majorTickMark val="out"/>
        <c:minorTickMark val="none"/>
        <c:tickLblPos val="nextTo"/>
        <c:crossAx val="221345280"/>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E07A5F"/>
            </a:solidFill>
            <a:ln>
              <a:noFill/>
            </a:ln>
            <a:effectLst/>
          </c:spPr>
          <c:invertIfNegative val="0"/>
          <c:val>
            <c:numRef>
              <c:f>'Current Month Pivots'!$V$13</c:f>
              <c:numCache>
                <c:formatCode>0%</c:formatCode>
                <c:ptCount val="1"/>
                <c:pt idx="0">
                  <c:v>0.14285714285714285</c:v>
                </c:pt>
              </c:numCache>
            </c:numRef>
          </c:val>
          <c:extLst>
            <c:ext xmlns:c16="http://schemas.microsoft.com/office/drawing/2014/chart" uri="{C3380CC4-5D6E-409C-BE32-E72D297353CC}">
              <c16:uniqueId val="{00000000-89AA-48A9-A439-3205D160E553}"/>
            </c:ext>
          </c:extLst>
        </c:ser>
        <c:ser>
          <c:idx val="1"/>
          <c:order val="1"/>
          <c:spPr>
            <a:solidFill>
              <a:srgbClr val="81B29A"/>
            </a:solidFill>
            <a:ln>
              <a:noFill/>
            </a:ln>
            <a:effectLst/>
          </c:spPr>
          <c:invertIfNegative val="0"/>
          <c:val>
            <c:numRef>
              <c:f>'Current Month Pivots'!$W$13</c:f>
              <c:numCache>
                <c:formatCode>0%</c:formatCode>
                <c:ptCount val="1"/>
                <c:pt idx="0">
                  <c:v>0.85714285714285721</c:v>
                </c:pt>
              </c:numCache>
            </c:numRef>
          </c:val>
          <c:extLst>
            <c:ext xmlns:c16="http://schemas.microsoft.com/office/drawing/2014/chart" uri="{C3380CC4-5D6E-409C-BE32-E72D297353CC}">
              <c16:uniqueId val="{00000001-89AA-48A9-A439-3205D160E553}"/>
            </c:ext>
          </c:extLst>
        </c:ser>
        <c:dLbls>
          <c:showLegendKey val="0"/>
          <c:showVal val="0"/>
          <c:showCatName val="0"/>
          <c:showSerName val="0"/>
          <c:showPercent val="0"/>
          <c:showBubbleSize val="0"/>
        </c:dLbls>
        <c:gapWidth val="0"/>
        <c:overlap val="100"/>
        <c:axId val="221345792"/>
        <c:axId val="221529216"/>
      </c:barChart>
      <c:catAx>
        <c:axId val="221345792"/>
        <c:scaling>
          <c:orientation val="minMax"/>
        </c:scaling>
        <c:delete val="1"/>
        <c:axPos val="l"/>
        <c:numFmt formatCode="General" sourceLinked="1"/>
        <c:majorTickMark val="out"/>
        <c:minorTickMark val="none"/>
        <c:tickLblPos val="nextTo"/>
        <c:crossAx val="221529216"/>
        <c:crosses val="autoZero"/>
        <c:auto val="1"/>
        <c:lblAlgn val="ctr"/>
        <c:lblOffset val="100"/>
        <c:noMultiLvlLbl val="0"/>
      </c:catAx>
      <c:valAx>
        <c:axId val="221529216"/>
        <c:scaling>
          <c:orientation val="minMax"/>
          <c:max val="1"/>
        </c:scaling>
        <c:delete val="1"/>
        <c:axPos val="b"/>
        <c:numFmt formatCode="0%" sourceLinked="1"/>
        <c:majorTickMark val="out"/>
        <c:minorTickMark val="none"/>
        <c:tickLblPos val="nextTo"/>
        <c:crossAx val="221345792"/>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 - Hub.xlsm]Overall Pivots!PivotTable6</c:name>
    <c:fmtId val="2"/>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19050" cap="rnd">
            <a:solidFill>
              <a:srgbClr val="E07A5F"/>
            </a:solidFill>
            <a:round/>
          </a:ln>
          <a:effectLst/>
        </c:spPr>
        <c:marker>
          <c:symbol val="circle"/>
          <c:size val="7"/>
          <c:spPr>
            <a:noFill/>
            <a:ln w="15875">
              <a:solidFill>
                <a:srgbClr val="F2CC8F"/>
              </a:solidFill>
            </a:ln>
            <a:effectLst/>
          </c:spPr>
        </c:marker>
      </c:pivotFmt>
    </c:pivotFmts>
    <c:plotArea>
      <c:layout/>
      <c:lineChart>
        <c:grouping val="standard"/>
        <c:varyColors val="0"/>
        <c:ser>
          <c:idx val="0"/>
          <c:order val="0"/>
          <c:tx>
            <c:strRef>
              <c:f>'Overall Pivots'!$C$3</c:f>
              <c:strCache>
                <c:ptCount val="1"/>
                <c:pt idx="0">
                  <c:v>Total</c:v>
                </c:pt>
              </c:strCache>
            </c:strRef>
          </c:tx>
          <c:spPr>
            <a:ln w="19050" cap="rnd">
              <a:solidFill>
                <a:srgbClr val="E07A5F"/>
              </a:solidFill>
              <a:round/>
            </a:ln>
            <a:effectLst/>
          </c:spPr>
          <c:marker>
            <c:symbol val="circle"/>
            <c:size val="7"/>
            <c:spPr>
              <a:noFill/>
              <a:ln w="15875">
                <a:solidFill>
                  <a:srgbClr val="F2CC8F"/>
                </a:solidFill>
              </a:ln>
              <a:effectLst/>
            </c:spPr>
          </c:marker>
          <c:cat>
            <c:multiLvlStrRef>
              <c:f>'Overall Pivots'!$B$4:$B$20</c:f>
              <c:multiLvlStrCache>
                <c:ptCount val="14"/>
                <c:lvl>
                  <c:pt idx="0">
                    <c:v>Jan</c:v>
                  </c:pt>
                  <c:pt idx="1">
                    <c:v>Feb</c:v>
                  </c:pt>
                  <c:pt idx="2">
                    <c:v>Mar</c:v>
                  </c:pt>
                  <c:pt idx="3">
                    <c:v>Apr</c:v>
                  </c:pt>
                  <c:pt idx="4">
                    <c:v>May</c:v>
                  </c:pt>
                  <c:pt idx="5">
                    <c:v>Jun</c:v>
                  </c:pt>
                  <c:pt idx="6">
                    <c:v>Jul</c:v>
                  </c:pt>
                  <c:pt idx="7">
                    <c:v>Aug</c:v>
                  </c:pt>
                  <c:pt idx="8">
                    <c:v>Sep</c:v>
                  </c:pt>
                  <c:pt idx="9">
                    <c:v>Oct</c:v>
                  </c:pt>
                  <c:pt idx="10">
                    <c:v>Nov</c:v>
                  </c:pt>
                  <c:pt idx="11">
                    <c:v>Dec</c:v>
                  </c:pt>
                  <c:pt idx="12">
                    <c:v>Jan</c:v>
                  </c:pt>
                  <c:pt idx="13">
                    <c:v>Feb</c:v>
                  </c:pt>
                </c:lvl>
                <c:lvl>
                  <c:pt idx="0">
                    <c:v>2021</c:v>
                  </c:pt>
                  <c:pt idx="12">
                    <c:v>2022</c:v>
                  </c:pt>
                </c:lvl>
              </c:multiLvlStrCache>
            </c:multiLvlStrRef>
          </c:cat>
          <c:val>
            <c:numRef>
              <c:f>'Overall Pivots'!$C$4:$C$20</c:f>
              <c:numCache>
                <c:formatCode>General</c:formatCode>
                <c:ptCount val="14"/>
                <c:pt idx="0">
                  <c:v>14</c:v>
                </c:pt>
                <c:pt idx="1">
                  <c:v>10</c:v>
                </c:pt>
                <c:pt idx="2">
                  <c:v>9</c:v>
                </c:pt>
                <c:pt idx="3">
                  <c:v>10</c:v>
                </c:pt>
                <c:pt idx="4">
                  <c:v>7</c:v>
                </c:pt>
                <c:pt idx="5">
                  <c:v>10</c:v>
                </c:pt>
                <c:pt idx="6">
                  <c:v>5</c:v>
                </c:pt>
                <c:pt idx="7">
                  <c:v>15</c:v>
                </c:pt>
                <c:pt idx="8">
                  <c:v>8</c:v>
                </c:pt>
                <c:pt idx="9">
                  <c:v>6</c:v>
                </c:pt>
                <c:pt idx="10">
                  <c:v>14</c:v>
                </c:pt>
                <c:pt idx="11">
                  <c:v>10</c:v>
                </c:pt>
                <c:pt idx="12">
                  <c:v>1</c:v>
                </c:pt>
                <c:pt idx="13">
                  <c:v>1</c:v>
                </c:pt>
              </c:numCache>
            </c:numRef>
          </c:val>
          <c:smooth val="1"/>
          <c:extLst>
            <c:ext xmlns:c16="http://schemas.microsoft.com/office/drawing/2014/chart" uri="{C3380CC4-5D6E-409C-BE32-E72D297353CC}">
              <c16:uniqueId val="{00000000-FAD6-46AC-BD8A-A353C85E384E}"/>
            </c:ext>
          </c:extLst>
        </c:ser>
        <c:dLbls>
          <c:showLegendKey val="0"/>
          <c:showVal val="0"/>
          <c:showCatName val="0"/>
          <c:showSerName val="0"/>
          <c:showPercent val="0"/>
          <c:showBubbleSize val="0"/>
        </c:dLbls>
        <c:marker val="1"/>
        <c:smooth val="0"/>
        <c:axId val="219573760"/>
        <c:axId val="221931776"/>
      </c:lineChart>
      <c:catAx>
        <c:axId val="21957376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221931776"/>
        <c:crosses val="autoZero"/>
        <c:auto val="1"/>
        <c:lblAlgn val="ctr"/>
        <c:lblOffset val="100"/>
        <c:noMultiLvlLbl val="0"/>
      </c:catAx>
      <c:valAx>
        <c:axId val="221931776"/>
        <c:scaling>
          <c:orientation val="minMax"/>
        </c:scaling>
        <c:delete val="0"/>
        <c:axPos val="l"/>
        <c:majorGridlines>
          <c:spPr>
            <a:ln w="9525" cap="flat" cmpd="sng" algn="ctr">
              <a:solidFill>
                <a:srgbClr val="81B29A"/>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2195737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 - Hub.xlsm]Overall Pivots!PivotTable7</c:name>
    <c:fmtId val="2"/>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19050" cap="rnd">
            <a:solidFill>
              <a:srgbClr val="E07A5F"/>
            </a:solidFill>
            <a:round/>
          </a:ln>
          <a:effectLst/>
        </c:spPr>
        <c:marker>
          <c:symbol val="circle"/>
          <c:size val="7"/>
          <c:spPr>
            <a:noFill/>
            <a:ln w="19050">
              <a:solidFill>
                <a:srgbClr val="F2CC8F"/>
              </a:solidFill>
            </a:ln>
            <a:effectLst/>
          </c:spPr>
        </c:marker>
      </c:pivotFmt>
    </c:pivotFmts>
    <c:plotArea>
      <c:layout/>
      <c:lineChart>
        <c:grouping val="standard"/>
        <c:varyColors val="0"/>
        <c:ser>
          <c:idx val="0"/>
          <c:order val="0"/>
          <c:tx>
            <c:strRef>
              <c:f>'Overall Pivots'!$G$3</c:f>
              <c:strCache>
                <c:ptCount val="1"/>
                <c:pt idx="0">
                  <c:v>Total</c:v>
                </c:pt>
              </c:strCache>
            </c:strRef>
          </c:tx>
          <c:spPr>
            <a:ln w="19050" cap="rnd">
              <a:solidFill>
                <a:srgbClr val="E07A5F"/>
              </a:solidFill>
              <a:round/>
            </a:ln>
            <a:effectLst/>
          </c:spPr>
          <c:marker>
            <c:symbol val="circle"/>
            <c:size val="7"/>
            <c:spPr>
              <a:noFill/>
              <a:ln w="19050">
                <a:solidFill>
                  <a:srgbClr val="F2CC8F"/>
                </a:solidFill>
              </a:ln>
              <a:effectLst/>
            </c:spPr>
          </c:marker>
          <c:cat>
            <c:multiLvlStrRef>
              <c:f>'Overall Pivots'!$F$4:$F$19</c:f>
              <c:multiLvlStrCache>
                <c:ptCount val="13"/>
                <c:lvl>
                  <c:pt idx="0">
                    <c:v>Jan</c:v>
                  </c:pt>
                  <c:pt idx="1">
                    <c:v>Feb</c:v>
                  </c:pt>
                  <c:pt idx="2">
                    <c:v>Mar</c:v>
                  </c:pt>
                  <c:pt idx="3">
                    <c:v>Apr</c:v>
                  </c:pt>
                  <c:pt idx="4">
                    <c:v>May</c:v>
                  </c:pt>
                  <c:pt idx="5">
                    <c:v>Jun</c:v>
                  </c:pt>
                  <c:pt idx="6">
                    <c:v>Jul</c:v>
                  </c:pt>
                  <c:pt idx="7">
                    <c:v>Aug</c:v>
                  </c:pt>
                  <c:pt idx="8">
                    <c:v>Sep</c:v>
                  </c:pt>
                  <c:pt idx="9">
                    <c:v>Oct</c:v>
                  </c:pt>
                  <c:pt idx="10">
                    <c:v>Nov</c:v>
                  </c:pt>
                  <c:pt idx="11">
                    <c:v>Dec</c:v>
                  </c:pt>
                  <c:pt idx="12">
                    <c:v>Feb</c:v>
                  </c:pt>
                </c:lvl>
                <c:lvl>
                  <c:pt idx="0">
                    <c:v>2021</c:v>
                  </c:pt>
                  <c:pt idx="12">
                    <c:v>2022</c:v>
                  </c:pt>
                </c:lvl>
              </c:multiLvlStrCache>
            </c:multiLvlStrRef>
          </c:cat>
          <c:val>
            <c:numRef>
              <c:f>'Overall Pivots'!$G$4:$G$19</c:f>
              <c:numCache>
                <c:formatCode>General</c:formatCode>
                <c:ptCount val="13"/>
                <c:pt idx="0">
                  <c:v>6</c:v>
                </c:pt>
                <c:pt idx="1">
                  <c:v>5</c:v>
                </c:pt>
                <c:pt idx="2">
                  <c:v>3</c:v>
                </c:pt>
                <c:pt idx="3">
                  <c:v>2</c:v>
                </c:pt>
                <c:pt idx="4">
                  <c:v>3</c:v>
                </c:pt>
                <c:pt idx="5">
                  <c:v>5</c:v>
                </c:pt>
                <c:pt idx="6">
                  <c:v>1</c:v>
                </c:pt>
                <c:pt idx="7">
                  <c:v>7</c:v>
                </c:pt>
                <c:pt idx="8">
                  <c:v>4</c:v>
                </c:pt>
                <c:pt idx="9">
                  <c:v>3</c:v>
                </c:pt>
                <c:pt idx="10">
                  <c:v>4</c:v>
                </c:pt>
                <c:pt idx="11">
                  <c:v>3</c:v>
                </c:pt>
                <c:pt idx="12">
                  <c:v>1</c:v>
                </c:pt>
              </c:numCache>
            </c:numRef>
          </c:val>
          <c:smooth val="1"/>
          <c:extLst>
            <c:ext xmlns:c16="http://schemas.microsoft.com/office/drawing/2014/chart" uri="{C3380CC4-5D6E-409C-BE32-E72D297353CC}">
              <c16:uniqueId val="{00000000-BB6D-4ABD-A5BB-816FBA2A6FD7}"/>
            </c:ext>
          </c:extLst>
        </c:ser>
        <c:dLbls>
          <c:showLegendKey val="0"/>
          <c:showVal val="0"/>
          <c:showCatName val="0"/>
          <c:showSerName val="0"/>
          <c:showPercent val="0"/>
          <c:showBubbleSize val="0"/>
        </c:dLbls>
        <c:marker val="1"/>
        <c:smooth val="0"/>
        <c:axId val="224604160"/>
        <c:axId val="221933504"/>
      </c:lineChart>
      <c:catAx>
        <c:axId val="22460416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221933504"/>
        <c:crosses val="autoZero"/>
        <c:auto val="1"/>
        <c:lblAlgn val="ctr"/>
        <c:lblOffset val="100"/>
        <c:noMultiLvlLbl val="0"/>
      </c:catAx>
      <c:valAx>
        <c:axId val="221933504"/>
        <c:scaling>
          <c:orientation val="minMax"/>
        </c:scaling>
        <c:delete val="0"/>
        <c:axPos val="l"/>
        <c:majorGridlines>
          <c:spPr>
            <a:ln w="9525" cap="flat" cmpd="sng" algn="ctr">
              <a:solidFill>
                <a:srgbClr val="81B29A"/>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bg1"/>
                </a:solidFill>
                <a:latin typeface="+mn-lt"/>
                <a:ea typeface="+mn-ea"/>
                <a:cs typeface="+mn-cs"/>
              </a:defRPr>
            </a:pPr>
            <a:endParaRPr lang="en-US"/>
          </a:p>
        </c:txPr>
        <c:crossAx val="2246041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 - Hub.xlsm]Overall Pivots!PivotTable11</c:name>
    <c:fmtId val="8"/>
  </c:pivotSource>
  <c:chart>
    <c:autoTitleDeleted val="1"/>
    <c:pivotFmts>
      <c:pivotFmt>
        <c:idx val="0"/>
        <c:spPr>
          <a:solidFill>
            <a:schemeClr val="accent1"/>
          </a:solidFill>
          <a:ln>
            <a:noFill/>
          </a:ln>
          <a:effectLst/>
        </c:spPr>
      </c:pivotFmt>
      <c:pivotFmt>
        <c:idx val="1"/>
        <c:spPr>
          <a:solidFill>
            <a:schemeClr val="accent1"/>
          </a:solidFill>
          <a:ln>
            <a:noFill/>
          </a:ln>
          <a:effectLst/>
        </c:spPr>
      </c:pivotFmt>
      <c:pivotFmt>
        <c:idx val="2"/>
        <c:spPr>
          <a:solidFill>
            <a:srgbClr val="81B29A"/>
          </a:solidFill>
          <a:ln>
            <a:noFill/>
          </a:ln>
          <a:effectLst/>
        </c:spPr>
        <c:marker>
          <c:symbol val="none"/>
        </c:marker>
      </c:pivotFmt>
    </c:pivotFmts>
    <c:plotArea>
      <c:layout/>
      <c:barChart>
        <c:barDir val="col"/>
        <c:grouping val="clustered"/>
        <c:varyColors val="0"/>
        <c:ser>
          <c:idx val="0"/>
          <c:order val="0"/>
          <c:tx>
            <c:strRef>
              <c:f>'Overall Pivots'!$O$11</c:f>
              <c:strCache>
                <c:ptCount val="1"/>
                <c:pt idx="0">
                  <c:v>Total</c:v>
                </c:pt>
              </c:strCache>
            </c:strRef>
          </c:tx>
          <c:spPr>
            <a:solidFill>
              <a:srgbClr val="81B29A"/>
            </a:solidFill>
            <a:ln>
              <a:noFill/>
            </a:ln>
            <a:effectLst/>
          </c:spPr>
          <c:invertIfNegative val="0"/>
          <c:cat>
            <c:strRef>
              <c:f>'Overall Pivots'!$N$12:$N$15</c:f>
              <c:strCache>
                <c:ptCount val="3"/>
                <c:pt idx="0">
                  <c:v>Green</c:v>
                </c:pt>
                <c:pt idx="1">
                  <c:v>Red</c:v>
                </c:pt>
                <c:pt idx="2">
                  <c:v>Yellow</c:v>
                </c:pt>
              </c:strCache>
            </c:strRef>
          </c:cat>
          <c:val>
            <c:numRef>
              <c:f>'Overall Pivots'!$O$12:$O$15</c:f>
              <c:numCache>
                <c:formatCode>General</c:formatCode>
                <c:ptCount val="3"/>
                <c:pt idx="0">
                  <c:v>37</c:v>
                </c:pt>
                <c:pt idx="1">
                  <c:v>47</c:v>
                </c:pt>
                <c:pt idx="2">
                  <c:v>36</c:v>
                </c:pt>
              </c:numCache>
            </c:numRef>
          </c:val>
          <c:extLst>
            <c:ext xmlns:c16="http://schemas.microsoft.com/office/drawing/2014/chart" uri="{C3380CC4-5D6E-409C-BE32-E72D297353CC}">
              <c16:uniqueId val="{00000000-7A06-4C51-ACE8-7588694A060A}"/>
            </c:ext>
          </c:extLst>
        </c:ser>
        <c:dLbls>
          <c:showLegendKey val="0"/>
          <c:showVal val="0"/>
          <c:showCatName val="0"/>
          <c:showSerName val="0"/>
          <c:showPercent val="0"/>
          <c:showBubbleSize val="0"/>
        </c:dLbls>
        <c:gapWidth val="219"/>
        <c:overlap val="-27"/>
        <c:axId val="224604672"/>
        <c:axId val="221935232"/>
      </c:barChart>
      <c:catAx>
        <c:axId val="22460467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1935232"/>
        <c:crosses val="autoZero"/>
        <c:auto val="1"/>
        <c:lblAlgn val="ctr"/>
        <c:lblOffset val="100"/>
        <c:noMultiLvlLbl val="0"/>
      </c:catAx>
      <c:valAx>
        <c:axId val="221935232"/>
        <c:scaling>
          <c:orientation val="minMax"/>
        </c:scaling>
        <c:delete val="0"/>
        <c:axPos val="l"/>
        <c:majorGridlines>
          <c:spPr>
            <a:ln w="9525" cap="flat" cmpd="sng" algn="ctr">
              <a:solidFill>
                <a:srgbClr val="81B29A"/>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460467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 - Hub.xlsm]Overall Pivots!PivotTable10</c:name>
    <c:fmtId val="10"/>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E07A5F"/>
          </a:solidFill>
          <a:ln>
            <a:noFill/>
          </a:ln>
          <a:effectLst/>
        </c:spPr>
        <c:marker>
          <c:symbol val="none"/>
        </c:marker>
      </c:pivotFmt>
    </c:pivotFmts>
    <c:plotArea>
      <c:layout/>
      <c:barChart>
        <c:barDir val="col"/>
        <c:grouping val="clustered"/>
        <c:varyColors val="0"/>
        <c:ser>
          <c:idx val="0"/>
          <c:order val="0"/>
          <c:tx>
            <c:strRef>
              <c:f>'Overall Pivots'!$O$3</c:f>
              <c:strCache>
                <c:ptCount val="1"/>
                <c:pt idx="0">
                  <c:v>Total</c:v>
                </c:pt>
              </c:strCache>
            </c:strRef>
          </c:tx>
          <c:spPr>
            <a:solidFill>
              <a:srgbClr val="E07A5F"/>
            </a:solidFill>
            <a:ln>
              <a:noFill/>
            </a:ln>
            <a:effectLst/>
          </c:spPr>
          <c:invertIfNegative val="0"/>
          <c:cat>
            <c:strRef>
              <c:f>'Overall Pivots'!$N$4:$N$7</c:f>
              <c:strCache>
                <c:ptCount val="3"/>
                <c:pt idx="0">
                  <c:v>High</c:v>
                </c:pt>
                <c:pt idx="1">
                  <c:v>Low</c:v>
                </c:pt>
                <c:pt idx="2">
                  <c:v>Medium</c:v>
                </c:pt>
              </c:strCache>
            </c:strRef>
          </c:cat>
          <c:val>
            <c:numRef>
              <c:f>'Overall Pivots'!$O$4:$O$7</c:f>
              <c:numCache>
                <c:formatCode>General</c:formatCode>
                <c:ptCount val="3"/>
                <c:pt idx="0">
                  <c:v>38</c:v>
                </c:pt>
                <c:pt idx="1">
                  <c:v>47</c:v>
                </c:pt>
                <c:pt idx="2">
                  <c:v>35</c:v>
                </c:pt>
              </c:numCache>
            </c:numRef>
          </c:val>
          <c:extLst>
            <c:ext xmlns:c16="http://schemas.microsoft.com/office/drawing/2014/chart" uri="{C3380CC4-5D6E-409C-BE32-E72D297353CC}">
              <c16:uniqueId val="{00000000-3258-41DF-BA31-A15EF751A2A0}"/>
            </c:ext>
          </c:extLst>
        </c:ser>
        <c:dLbls>
          <c:showLegendKey val="0"/>
          <c:showVal val="0"/>
          <c:showCatName val="0"/>
          <c:showSerName val="0"/>
          <c:showPercent val="0"/>
          <c:showBubbleSize val="0"/>
        </c:dLbls>
        <c:gapWidth val="219"/>
        <c:overlap val="-27"/>
        <c:axId val="224605184"/>
        <c:axId val="221936960"/>
      </c:barChart>
      <c:catAx>
        <c:axId val="224605184"/>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1936960"/>
        <c:crosses val="autoZero"/>
        <c:auto val="1"/>
        <c:lblAlgn val="ctr"/>
        <c:lblOffset val="100"/>
        <c:noMultiLvlLbl val="0"/>
      </c:catAx>
      <c:valAx>
        <c:axId val="221936960"/>
        <c:scaling>
          <c:orientation val="minMax"/>
        </c:scaling>
        <c:delete val="0"/>
        <c:axPos val="l"/>
        <c:majorGridlines>
          <c:spPr>
            <a:ln w="9525" cap="flat" cmpd="sng" algn="ctr">
              <a:solidFill>
                <a:srgbClr val="81B29A"/>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46051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[Bakery - Hub.xlsm]Overall Pivots!PivotTable12</c:name>
    <c:fmtId val="4"/>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F2CC8F"/>
          </a:solidFill>
          <a:ln>
            <a:noFill/>
          </a:ln>
          <a:effectLst/>
        </c:spPr>
        <c:marker>
          <c:symbol val="none"/>
        </c:marker>
      </c:pivotFmt>
    </c:pivotFmts>
    <c:plotArea>
      <c:layout/>
      <c:barChart>
        <c:barDir val="bar"/>
        <c:grouping val="clustered"/>
        <c:varyColors val="0"/>
        <c:ser>
          <c:idx val="0"/>
          <c:order val="0"/>
          <c:tx>
            <c:strRef>
              <c:f>'Overall Pivots'!$S$3</c:f>
              <c:strCache>
                <c:ptCount val="1"/>
                <c:pt idx="0">
                  <c:v>Total</c:v>
                </c:pt>
              </c:strCache>
            </c:strRef>
          </c:tx>
          <c:spPr>
            <a:solidFill>
              <a:srgbClr val="F2CC8F"/>
            </a:solidFill>
            <a:ln>
              <a:noFill/>
            </a:ln>
            <a:effectLst/>
          </c:spPr>
          <c:invertIfNegative val="0"/>
          <c:cat>
            <c:strRef>
              <c:f>'Overall Pivots'!$R$4:$R$8</c:f>
              <c:strCache>
                <c:ptCount val="4"/>
                <c:pt idx="0">
                  <c:v>Jenny</c:v>
                </c:pt>
                <c:pt idx="1">
                  <c:v>John</c:v>
                </c:pt>
                <c:pt idx="2">
                  <c:v>Phil</c:v>
                </c:pt>
                <c:pt idx="3">
                  <c:v>Sarah</c:v>
                </c:pt>
              </c:strCache>
            </c:strRef>
          </c:cat>
          <c:val>
            <c:numRef>
              <c:f>'Overall Pivots'!$S$4:$S$8</c:f>
              <c:numCache>
                <c:formatCode>General</c:formatCode>
                <c:ptCount val="4"/>
                <c:pt idx="0">
                  <c:v>26</c:v>
                </c:pt>
                <c:pt idx="1">
                  <c:v>28</c:v>
                </c:pt>
                <c:pt idx="2">
                  <c:v>26</c:v>
                </c:pt>
                <c:pt idx="3">
                  <c:v>40</c:v>
                </c:pt>
              </c:numCache>
            </c:numRef>
          </c:val>
          <c:extLst>
            <c:ext xmlns:c16="http://schemas.microsoft.com/office/drawing/2014/chart" uri="{C3380CC4-5D6E-409C-BE32-E72D297353CC}">
              <c16:uniqueId val="{00000000-DFD3-4EB4-931E-E5040EF5C0FC}"/>
            </c:ext>
          </c:extLst>
        </c:ser>
        <c:dLbls>
          <c:showLegendKey val="0"/>
          <c:showVal val="0"/>
          <c:showCatName val="0"/>
          <c:showSerName val="0"/>
          <c:showPercent val="0"/>
          <c:showBubbleSize val="0"/>
        </c:dLbls>
        <c:gapWidth val="182"/>
        <c:axId val="224605696"/>
        <c:axId val="225469568"/>
      </c:barChart>
      <c:catAx>
        <c:axId val="224605696"/>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5469568"/>
        <c:crosses val="autoZero"/>
        <c:auto val="1"/>
        <c:lblAlgn val="ctr"/>
        <c:lblOffset val="100"/>
        <c:noMultiLvlLbl val="0"/>
      </c:catAx>
      <c:valAx>
        <c:axId val="225469568"/>
        <c:scaling>
          <c:orientation val="minMax"/>
        </c:scaling>
        <c:delete val="0"/>
        <c:axPos val="b"/>
        <c:majorGridlines>
          <c:spPr>
            <a:ln w="9525" cap="flat" cmpd="sng" algn="ctr">
              <a:solidFill>
                <a:srgbClr val="81B29A"/>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2460569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81B29A"/>
            </a:solidFill>
            <a:ln>
              <a:noFill/>
            </a:ln>
            <a:effectLst/>
          </c:spPr>
          <c:invertIfNegative val="0"/>
          <c:val>
            <c:numRef>
              <c:f>'Overall Pivots'!$AB$5</c:f>
              <c:numCache>
                <c:formatCode>0%</c:formatCode>
                <c:ptCount val="1"/>
                <c:pt idx="0">
                  <c:v>0.51666666666666672</c:v>
                </c:pt>
              </c:numCache>
            </c:numRef>
          </c:val>
          <c:extLst>
            <c:ext xmlns:c16="http://schemas.microsoft.com/office/drawing/2014/chart" uri="{C3380CC4-5D6E-409C-BE32-E72D297353CC}">
              <c16:uniqueId val="{00000000-DE06-44D3-9CAD-C3FEF6BE7287}"/>
            </c:ext>
          </c:extLst>
        </c:ser>
        <c:ser>
          <c:idx val="1"/>
          <c:order val="1"/>
          <c:spPr>
            <a:solidFill>
              <a:srgbClr val="E07A5F"/>
            </a:solidFill>
            <a:ln>
              <a:noFill/>
            </a:ln>
            <a:effectLst/>
          </c:spPr>
          <c:invertIfNegative val="0"/>
          <c:val>
            <c:numRef>
              <c:f>'Overall Pivots'!$AC$5</c:f>
              <c:numCache>
                <c:formatCode>0%</c:formatCode>
                <c:ptCount val="1"/>
                <c:pt idx="0">
                  <c:v>0.48333333333333328</c:v>
                </c:pt>
              </c:numCache>
            </c:numRef>
          </c:val>
          <c:extLst>
            <c:ext xmlns:c16="http://schemas.microsoft.com/office/drawing/2014/chart" uri="{C3380CC4-5D6E-409C-BE32-E72D297353CC}">
              <c16:uniqueId val="{00000001-DE06-44D3-9CAD-C3FEF6BE7287}"/>
            </c:ext>
          </c:extLst>
        </c:ser>
        <c:dLbls>
          <c:showLegendKey val="0"/>
          <c:showVal val="0"/>
          <c:showCatName val="0"/>
          <c:showSerName val="0"/>
          <c:showPercent val="0"/>
          <c:showBubbleSize val="0"/>
        </c:dLbls>
        <c:gapWidth val="150"/>
        <c:overlap val="100"/>
        <c:axId val="224606208"/>
        <c:axId val="225471296"/>
      </c:barChart>
      <c:catAx>
        <c:axId val="224606208"/>
        <c:scaling>
          <c:orientation val="minMax"/>
        </c:scaling>
        <c:delete val="1"/>
        <c:axPos val="l"/>
        <c:numFmt formatCode="General" sourceLinked="1"/>
        <c:majorTickMark val="out"/>
        <c:minorTickMark val="none"/>
        <c:tickLblPos val="nextTo"/>
        <c:crossAx val="225471296"/>
        <c:crosses val="autoZero"/>
        <c:auto val="1"/>
        <c:lblAlgn val="ctr"/>
        <c:lblOffset val="100"/>
        <c:noMultiLvlLbl val="0"/>
      </c:catAx>
      <c:valAx>
        <c:axId val="225471296"/>
        <c:scaling>
          <c:orientation val="minMax"/>
          <c:max val="1"/>
        </c:scaling>
        <c:delete val="1"/>
        <c:axPos val="b"/>
        <c:numFmt formatCode="0%" sourceLinked="1"/>
        <c:majorTickMark val="out"/>
        <c:minorTickMark val="none"/>
        <c:tickLblPos val="nextTo"/>
        <c:crossAx val="22460620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solidFill>
              <a:srgbClr val="81B29A"/>
            </a:solidFill>
            <a:ln>
              <a:noFill/>
            </a:ln>
            <a:effectLst/>
          </c:spPr>
          <c:invertIfNegative val="0"/>
          <c:val>
            <c:numRef>
              <c:f>'Overall Pivots'!$AB$6</c:f>
              <c:numCache>
                <c:formatCode>0%</c:formatCode>
                <c:ptCount val="1"/>
                <c:pt idx="0">
                  <c:v>0.53333333333333333</c:v>
                </c:pt>
              </c:numCache>
            </c:numRef>
          </c:val>
          <c:extLst>
            <c:ext xmlns:c16="http://schemas.microsoft.com/office/drawing/2014/chart" uri="{C3380CC4-5D6E-409C-BE32-E72D297353CC}">
              <c16:uniqueId val="{00000000-0C30-4355-A901-61DE2B3251A4}"/>
            </c:ext>
          </c:extLst>
        </c:ser>
        <c:ser>
          <c:idx val="1"/>
          <c:order val="1"/>
          <c:spPr>
            <a:solidFill>
              <a:srgbClr val="E07A5F"/>
            </a:solidFill>
            <a:ln>
              <a:noFill/>
            </a:ln>
            <a:effectLst/>
          </c:spPr>
          <c:invertIfNegative val="0"/>
          <c:val>
            <c:numRef>
              <c:f>'Overall Pivots'!$AC$6</c:f>
              <c:numCache>
                <c:formatCode>0%</c:formatCode>
                <c:ptCount val="1"/>
                <c:pt idx="0">
                  <c:v>0.46666666666666667</c:v>
                </c:pt>
              </c:numCache>
            </c:numRef>
          </c:val>
          <c:extLst>
            <c:ext xmlns:c16="http://schemas.microsoft.com/office/drawing/2014/chart" uri="{C3380CC4-5D6E-409C-BE32-E72D297353CC}">
              <c16:uniqueId val="{00000001-0C30-4355-A901-61DE2B3251A4}"/>
            </c:ext>
          </c:extLst>
        </c:ser>
        <c:dLbls>
          <c:showLegendKey val="0"/>
          <c:showVal val="0"/>
          <c:showCatName val="0"/>
          <c:showSerName val="0"/>
          <c:showPercent val="0"/>
          <c:showBubbleSize val="0"/>
        </c:dLbls>
        <c:gapWidth val="150"/>
        <c:overlap val="100"/>
        <c:axId val="224607232"/>
        <c:axId val="225473024"/>
      </c:barChart>
      <c:catAx>
        <c:axId val="224607232"/>
        <c:scaling>
          <c:orientation val="minMax"/>
        </c:scaling>
        <c:delete val="1"/>
        <c:axPos val="l"/>
        <c:numFmt formatCode="General" sourceLinked="1"/>
        <c:majorTickMark val="out"/>
        <c:minorTickMark val="none"/>
        <c:tickLblPos val="nextTo"/>
        <c:crossAx val="225473024"/>
        <c:crosses val="autoZero"/>
        <c:auto val="1"/>
        <c:lblAlgn val="ctr"/>
        <c:lblOffset val="100"/>
        <c:noMultiLvlLbl val="0"/>
      </c:catAx>
      <c:valAx>
        <c:axId val="225473024"/>
        <c:scaling>
          <c:orientation val="minMax"/>
          <c:max val="1"/>
        </c:scaling>
        <c:delete val="1"/>
        <c:axPos val="b"/>
        <c:numFmt formatCode="0%" sourceLinked="1"/>
        <c:majorTickMark val="out"/>
        <c:minorTickMark val="none"/>
        <c:tickLblPos val="nextTo"/>
        <c:crossAx val="224607232"/>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3</xdr:col>
      <xdr:colOff>237568</xdr:colOff>
      <xdr:row>1</xdr:row>
      <xdr:rowOff>0</xdr:rowOff>
    </xdr:from>
    <xdr:to>
      <xdr:col>4</xdr:col>
      <xdr:colOff>428068</xdr:colOff>
      <xdr:row>4</xdr:row>
      <xdr:rowOff>0</xdr:rowOff>
    </xdr:to>
    <xdr:sp macro="[0]!go_new" textlink="">
      <xdr:nvSpPr>
        <xdr:cNvPr id="2" name="Rounded Rectangle 1"/>
        <xdr:cNvSpPr/>
      </xdr:nvSpPr>
      <xdr:spPr>
        <a:xfrm>
          <a:off x="3742768" y="116541"/>
          <a:ext cx="1759324" cy="681318"/>
        </a:xfrm>
        <a:prstGeom prst="roundRect">
          <a:avLst/>
        </a:prstGeom>
        <a:solidFill>
          <a:srgbClr val="A5A5A5"/>
        </a:solidFill>
        <a:ln w="19050">
          <a:solidFill>
            <a:srgbClr val="EDEDE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Add New</a:t>
          </a:r>
          <a:r>
            <a:rPr lang="en-US" sz="1400" baseline="0"/>
            <a:t> Finding</a:t>
          </a:r>
          <a:endParaRPr lang="en-US" sz="1400"/>
        </a:p>
      </xdr:txBody>
    </xdr:sp>
    <xdr:clientData/>
  </xdr:twoCellAnchor>
  <xdr:twoCellAnchor>
    <xdr:from>
      <xdr:col>4</xdr:col>
      <xdr:colOff>702611</xdr:colOff>
      <xdr:row>1</xdr:row>
      <xdr:rowOff>0</xdr:rowOff>
    </xdr:from>
    <xdr:to>
      <xdr:col>5</xdr:col>
      <xdr:colOff>1162052</xdr:colOff>
      <xdr:row>4</xdr:row>
      <xdr:rowOff>1</xdr:rowOff>
    </xdr:to>
    <xdr:sp macro="[0]!view_finding" textlink="">
      <xdr:nvSpPr>
        <xdr:cNvPr id="3" name="Rounded Rectangle 2"/>
        <xdr:cNvSpPr/>
      </xdr:nvSpPr>
      <xdr:spPr>
        <a:xfrm>
          <a:off x="5776635" y="116541"/>
          <a:ext cx="1759323" cy="681319"/>
        </a:xfrm>
        <a:prstGeom prst="roundRect">
          <a:avLst/>
        </a:prstGeom>
        <a:solidFill>
          <a:srgbClr val="A5A5A5"/>
        </a:solidFill>
        <a:ln w="19050">
          <a:solidFill>
            <a:srgbClr val="EDEDE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Select Individual Finding to View</a:t>
          </a:r>
        </a:p>
      </xdr:txBody>
    </xdr:sp>
    <xdr:clientData/>
  </xdr:twoCellAnchor>
  <xdr:twoCellAnchor>
    <xdr:from>
      <xdr:col>9</xdr:col>
      <xdr:colOff>268944</xdr:colOff>
      <xdr:row>0</xdr:row>
      <xdr:rowOff>116540</xdr:rowOff>
    </xdr:from>
    <xdr:to>
      <xdr:col>10</xdr:col>
      <xdr:colOff>954744</xdr:colOff>
      <xdr:row>4</xdr:row>
      <xdr:rowOff>0</xdr:rowOff>
    </xdr:to>
    <xdr:sp macro="[0]!monthly_report" textlink="">
      <xdr:nvSpPr>
        <xdr:cNvPr id="5" name="Rounded Rectangle 4"/>
        <xdr:cNvSpPr/>
      </xdr:nvSpPr>
      <xdr:spPr>
        <a:xfrm>
          <a:off x="12218897" y="116540"/>
          <a:ext cx="1779494" cy="681319"/>
        </a:xfrm>
        <a:prstGeom prst="roundRect">
          <a:avLst/>
        </a:prstGeom>
        <a:solidFill>
          <a:srgbClr val="A5A5A5"/>
        </a:solidFill>
        <a:ln w="19050">
          <a:solidFill>
            <a:srgbClr val="EDEDE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Create Monthly</a:t>
          </a:r>
          <a:r>
            <a:rPr lang="en-US" sz="1400" baseline="0"/>
            <a:t> Report</a:t>
          </a:r>
          <a:endParaRPr lang="en-US" sz="1400"/>
        </a:p>
      </xdr:txBody>
    </xdr:sp>
    <xdr:clientData/>
  </xdr:twoCellAnchor>
  <xdr:twoCellAnchor>
    <xdr:from>
      <xdr:col>5</xdr:col>
      <xdr:colOff>1436595</xdr:colOff>
      <xdr:row>1</xdr:row>
      <xdr:rowOff>0</xdr:rowOff>
    </xdr:from>
    <xdr:to>
      <xdr:col>6</xdr:col>
      <xdr:colOff>762001</xdr:colOff>
      <xdr:row>4</xdr:row>
      <xdr:rowOff>1</xdr:rowOff>
    </xdr:to>
    <xdr:sp macro="[0]!delete_entries" textlink="">
      <xdr:nvSpPr>
        <xdr:cNvPr id="6" name="Rounded Rectangle 5"/>
        <xdr:cNvSpPr/>
      </xdr:nvSpPr>
      <xdr:spPr>
        <a:xfrm>
          <a:off x="7810501" y="116541"/>
          <a:ext cx="1754841" cy="681319"/>
        </a:xfrm>
        <a:prstGeom prst="roundRect">
          <a:avLst/>
        </a:prstGeom>
        <a:solidFill>
          <a:srgbClr val="A5A5A5"/>
        </a:solidFill>
        <a:ln w="19050">
          <a:solidFill>
            <a:srgbClr val="EDEDE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Delete Entries</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190500</xdr:colOff>
      <xdr:row>10</xdr:row>
      <xdr:rowOff>66675</xdr:rowOff>
    </xdr:from>
    <xdr:to>
      <xdr:col>6</xdr:col>
      <xdr:colOff>571500</xdr:colOff>
      <xdr:row>23</xdr:row>
      <xdr:rowOff>114300</xdr:rowOff>
    </xdr:to>
    <mc:AlternateContent xmlns:mc="http://schemas.openxmlformats.org/markup-compatibility/2006" xmlns:a14="http://schemas.microsoft.com/office/drawing/2010/main">
      <mc:Choice Requires="a14">
        <xdr:graphicFrame macro="">
          <xdr:nvGraphicFramePr>
            <xdr:cNvPr id="2" name="Years 1"/>
            <xdr:cNvGraphicFramePr/>
          </xdr:nvGraphicFramePr>
          <xdr:xfrm>
            <a:off x="0" y="0"/>
            <a:ext cx="0" cy="0"/>
          </xdr:xfrm>
          <a:graphic>
            <a:graphicData uri="http://schemas.microsoft.com/office/drawing/2010/slicer">
              <sle:slicer xmlns:sle="http://schemas.microsoft.com/office/drawing/2010/slicer" name="Years 1"/>
            </a:graphicData>
          </a:graphic>
        </xdr:graphicFrame>
      </mc:Choice>
      <mc:Fallback xmlns="">
        <xdr:sp macro="" textlink="">
          <xdr:nvSpPr>
            <xdr:cNvPr id="0" name=""/>
            <xdr:cNvSpPr>
              <a:spLocks noTextEdit="1"/>
            </xdr:cNvSpPr>
          </xdr:nvSpPr>
          <xdr:spPr>
            <a:xfrm>
              <a:off x="4705350" y="19716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1047750</xdr:colOff>
      <xdr:row>10</xdr:row>
      <xdr:rowOff>28574</xdr:rowOff>
    </xdr:from>
    <xdr:to>
      <xdr:col>4</xdr:col>
      <xdr:colOff>1158240</xdr:colOff>
      <xdr:row>28</xdr:row>
      <xdr:rowOff>182879</xdr:rowOff>
    </xdr:to>
    <mc:AlternateContent xmlns:mc="http://schemas.openxmlformats.org/markup-compatibility/2006" xmlns:a14="http://schemas.microsoft.com/office/drawing/2010/main">
      <mc:Choice Requires="a14">
        <xdr:graphicFrame macro="">
          <xdr:nvGraphicFramePr>
            <xdr:cNvPr id="4" name="Finding Date 1"/>
            <xdr:cNvGraphicFramePr/>
          </xdr:nvGraphicFramePr>
          <xdr:xfrm>
            <a:off x="0" y="0"/>
            <a:ext cx="0" cy="0"/>
          </xdr:xfrm>
          <a:graphic>
            <a:graphicData uri="http://schemas.microsoft.com/office/drawing/2010/slicer">
              <sle:slicer xmlns:sle="http://schemas.microsoft.com/office/drawing/2010/slicer" name="Finding Date 1"/>
            </a:graphicData>
          </a:graphic>
        </xdr:graphicFrame>
      </mc:Choice>
      <mc:Fallback xmlns="">
        <xdr:sp macro="" textlink="">
          <xdr:nvSpPr>
            <xdr:cNvPr id="0" name=""/>
            <xdr:cNvSpPr>
              <a:spLocks noTextEdit="1"/>
            </xdr:cNvSpPr>
          </xdr:nvSpPr>
          <xdr:spPr>
            <a:xfrm>
              <a:off x="2533650" y="1933574"/>
              <a:ext cx="1828800" cy="3590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704850</xdr:colOff>
      <xdr:row>20</xdr:row>
      <xdr:rowOff>85725</xdr:rowOff>
    </xdr:from>
    <xdr:to>
      <xdr:col>10</xdr:col>
      <xdr:colOff>285750</xdr:colOff>
      <xdr:row>33</xdr:row>
      <xdr:rowOff>133350</xdr:rowOff>
    </xdr:to>
    <mc:AlternateContent xmlns:mc="http://schemas.openxmlformats.org/markup-compatibility/2006" xmlns:a14="http://schemas.microsoft.com/office/drawing/2010/main">
      <mc:Choice Requires="a14">
        <xdr:graphicFrame macro="">
          <xdr:nvGraphicFramePr>
            <xdr:cNvPr id="3" name="Years"/>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648700" y="39052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152400</xdr:colOff>
      <xdr:row>17</xdr:row>
      <xdr:rowOff>85724</xdr:rowOff>
    </xdr:from>
    <xdr:to>
      <xdr:col>8</xdr:col>
      <xdr:colOff>609600</xdr:colOff>
      <xdr:row>36</xdr:row>
      <xdr:rowOff>57149</xdr:rowOff>
    </xdr:to>
    <mc:AlternateContent xmlns:mc="http://schemas.openxmlformats.org/markup-compatibility/2006" xmlns:a14="http://schemas.microsoft.com/office/drawing/2010/main">
      <mc:Choice Requires="a14">
        <xdr:graphicFrame macro="">
          <xdr:nvGraphicFramePr>
            <xdr:cNvPr id="5" name="Finding Date"/>
            <xdr:cNvGraphicFramePr/>
          </xdr:nvGraphicFramePr>
          <xdr:xfrm>
            <a:off x="0" y="0"/>
            <a:ext cx="0" cy="0"/>
          </xdr:xfrm>
          <a:graphic>
            <a:graphicData uri="http://schemas.microsoft.com/office/drawing/2010/slicer">
              <sle:slicer xmlns:sle="http://schemas.microsoft.com/office/drawing/2010/slicer" name="Finding Date"/>
            </a:graphicData>
          </a:graphic>
        </xdr:graphicFrame>
      </mc:Choice>
      <mc:Fallback xmlns="">
        <xdr:sp macro="" textlink="">
          <xdr:nvSpPr>
            <xdr:cNvPr id="0" name=""/>
            <xdr:cNvSpPr>
              <a:spLocks noTextEdit="1"/>
            </xdr:cNvSpPr>
          </xdr:nvSpPr>
          <xdr:spPr>
            <a:xfrm>
              <a:off x="6724650" y="3333749"/>
              <a:ext cx="1828800" cy="3590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657225</xdr:colOff>
      <xdr:row>20</xdr:row>
      <xdr:rowOff>0</xdr:rowOff>
    </xdr:from>
    <xdr:to>
      <xdr:col>12</xdr:col>
      <xdr:colOff>249555</xdr:colOff>
      <xdr:row>33</xdr:row>
      <xdr:rowOff>47625</xdr:rowOff>
    </xdr:to>
    <mc:AlternateContent xmlns:mc="http://schemas.openxmlformats.org/markup-compatibility/2006" xmlns:a14="http://schemas.microsoft.com/office/drawing/2010/main">
      <mc:Choice Requires="a14">
        <xdr:graphicFrame macro="">
          <xdr:nvGraphicFramePr>
            <xdr:cNvPr id="2" name="Criticality"/>
            <xdr:cNvGraphicFramePr/>
          </xdr:nvGraphicFramePr>
          <xdr:xfrm>
            <a:off x="0" y="0"/>
            <a:ext cx="0" cy="0"/>
          </xdr:xfrm>
          <a:graphic>
            <a:graphicData uri="http://schemas.microsoft.com/office/drawing/2010/slicer">
              <sle:slicer xmlns:sle="http://schemas.microsoft.com/office/drawing/2010/slicer" name="Criticality"/>
            </a:graphicData>
          </a:graphic>
        </xdr:graphicFrame>
      </mc:Choice>
      <mc:Fallback xmlns="">
        <xdr:sp macro="" textlink="">
          <xdr:nvSpPr>
            <xdr:cNvPr id="0" name=""/>
            <xdr:cNvSpPr>
              <a:spLocks noTextEdit="1"/>
            </xdr:cNvSpPr>
          </xdr:nvSpPr>
          <xdr:spPr>
            <a:xfrm>
              <a:off x="10848975" y="3819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9</xdr:col>
      <xdr:colOff>0</xdr:colOff>
      <xdr:row>17</xdr:row>
      <xdr:rowOff>0</xdr:rowOff>
    </xdr:from>
    <xdr:to>
      <xdr:col>13</xdr:col>
      <xdr:colOff>0</xdr:colOff>
      <xdr:row>34</xdr:row>
      <xdr:rowOff>0</xdr:rowOff>
    </xdr:to>
    <xdr:sp macro="" textlink="">
      <xdr:nvSpPr>
        <xdr:cNvPr id="27" name="Rounded Rectangle 26"/>
        <xdr:cNvSpPr/>
      </xdr:nvSpPr>
      <xdr:spPr>
        <a:xfrm>
          <a:off x="4000500" y="2933700"/>
          <a:ext cx="2438400" cy="3162300"/>
        </a:xfrm>
        <a:prstGeom prst="roundRect">
          <a:avLst>
            <a:gd name="adj" fmla="val 41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xdr:row>
      <xdr:rowOff>0</xdr:rowOff>
    </xdr:from>
    <xdr:to>
      <xdr:col>24</xdr:col>
      <xdr:colOff>0</xdr:colOff>
      <xdr:row>4</xdr:row>
      <xdr:rowOff>0</xdr:rowOff>
    </xdr:to>
    <xdr:sp macro="" textlink="">
      <xdr:nvSpPr>
        <xdr:cNvPr id="2" name="Rounded Rectangle 1"/>
        <xdr:cNvSpPr/>
      </xdr:nvSpPr>
      <xdr:spPr>
        <a:xfrm>
          <a:off x="114300" y="114300"/>
          <a:ext cx="12192000" cy="571500"/>
        </a:xfrm>
        <a:prstGeom prst="roundRect">
          <a:avLst>
            <a:gd name="adj" fmla="val 17778"/>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123824</xdr:colOff>
      <xdr:row>1</xdr:row>
      <xdr:rowOff>1</xdr:rowOff>
    </xdr:from>
    <xdr:to>
      <xdr:col>18</xdr:col>
      <xdr:colOff>523875</xdr:colOff>
      <xdr:row>4</xdr:row>
      <xdr:rowOff>0</xdr:rowOff>
    </xdr:to>
    <xdr:sp macro="" textlink="">
      <xdr:nvSpPr>
        <xdr:cNvPr id="3" name="TextBox 2"/>
        <xdr:cNvSpPr txBox="1"/>
      </xdr:nvSpPr>
      <xdr:spPr>
        <a:xfrm>
          <a:off x="238124" y="114301"/>
          <a:ext cx="8782051" cy="571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bg1"/>
              </a:solidFill>
              <a:latin typeface="Arial" panose="020B0604020202020204" pitchFamily="34" charset="0"/>
              <a:cs typeface="Arial" panose="020B0604020202020204" pitchFamily="34" charset="0"/>
            </a:rPr>
            <a:t>Monthly</a:t>
          </a:r>
          <a:r>
            <a:rPr lang="en-US" sz="2800" baseline="0">
              <a:solidFill>
                <a:schemeClr val="bg1"/>
              </a:solidFill>
              <a:latin typeface="Arial" panose="020B0604020202020204" pitchFamily="34" charset="0"/>
              <a:cs typeface="Arial" panose="020B0604020202020204" pitchFamily="34" charset="0"/>
            </a:rPr>
            <a:t> C</a:t>
          </a:r>
          <a:r>
            <a:rPr lang="en-US" sz="2800">
              <a:solidFill>
                <a:schemeClr val="bg1"/>
              </a:solidFill>
              <a:latin typeface="Arial" panose="020B0604020202020204" pitchFamily="34" charset="0"/>
              <a:cs typeface="Arial" panose="020B0604020202020204" pitchFamily="34" charset="0"/>
            </a:rPr>
            <a:t>ustomer</a:t>
          </a:r>
          <a:r>
            <a:rPr lang="en-US" sz="2800" baseline="0">
              <a:solidFill>
                <a:schemeClr val="bg1"/>
              </a:solidFill>
              <a:latin typeface="Arial" panose="020B0604020202020204" pitchFamily="34" charset="0"/>
              <a:cs typeface="Arial" panose="020B0604020202020204" pitchFamily="34" charset="0"/>
            </a:rPr>
            <a:t> Feedback Findings Dashboard</a:t>
          </a:r>
          <a:endParaRPr lang="en-US" sz="280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0</xdr:colOff>
      <xdr:row>10</xdr:row>
      <xdr:rowOff>0</xdr:rowOff>
    </xdr:from>
    <xdr:to>
      <xdr:col>8</xdr:col>
      <xdr:colOff>0</xdr:colOff>
      <xdr:row>15</xdr:row>
      <xdr:rowOff>190499</xdr:rowOff>
    </xdr:to>
    <xdr:sp macro="" textlink="">
      <xdr:nvSpPr>
        <xdr:cNvPr id="4" name="Rounded Rectangle 3"/>
        <xdr:cNvSpPr/>
      </xdr:nvSpPr>
      <xdr:spPr>
        <a:xfrm>
          <a:off x="114300" y="1676400"/>
          <a:ext cx="3771900" cy="1142999"/>
        </a:xfrm>
        <a:prstGeom prst="roundRect">
          <a:avLst>
            <a:gd name="adj" fmla="val 8889"/>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590550</xdr:colOff>
      <xdr:row>10</xdr:row>
      <xdr:rowOff>0</xdr:rowOff>
    </xdr:from>
    <xdr:to>
      <xdr:col>4</xdr:col>
      <xdr:colOff>219075</xdr:colOff>
      <xdr:row>16</xdr:row>
      <xdr:rowOff>0</xdr:rowOff>
    </xdr:to>
    <xdr:sp macro="" textlink="'Current Month Pivots'!R5">
      <xdr:nvSpPr>
        <xdr:cNvPr id="5" name="TextBox 4"/>
        <xdr:cNvSpPr txBox="1"/>
      </xdr:nvSpPr>
      <xdr:spPr>
        <a:xfrm>
          <a:off x="1314450" y="1676400"/>
          <a:ext cx="847725"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960CA26-1A53-4CE9-AED1-2BBD6D27682B}" type="TxLink">
            <a:rPr lang="en-US" sz="4400" b="0" i="0" u="none" strike="noStrike">
              <a:solidFill>
                <a:schemeClr val="bg1"/>
              </a:solidFill>
              <a:latin typeface="Calibri"/>
              <a:cs typeface="Calibri"/>
            </a:rPr>
            <a:pPr algn="ctr"/>
            <a:t>7</a:t>
          </a:fld>
          <a:endParaRPr lang="en-US" sz="4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190499</xdr:colOff>
      <xdr:row>10</xdr:row>
      <xdr:rowOff>0</xdr:rowOff>
    </xdr:from>
    <xdr:to>
      <xdr:col>3</xdr:col>
      <xdr:colOff>66674</xdr:colOff>
      <xdr:row>16</xdr:row>
      <xdr:rowOff>0</xdr:rowOff>
    </xdr:to>
    <xdr:sp macro="" textlink="">
      <xdr:nvSpPr>
        <xdr:cNvPr id="6" name="TextBox 5"/>
        <xdr:cNvSpPr txBox="1"/>
      </xdr:nvSpPr>
      <xdr:spPr>
        <a:xfrm>
          <a:off x="304799" y="1676400"/>
          <a:ext cx="1095375"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800" b="0">
              <a:solidFill>
                <a:schemeClr val="bg1"/>
              </a:solidFill>
              <a:latin typeface="Arial" panose="020B0604020202020204" pitchFamily="34" charset="0"/>
              <a:cs typeface="Arial" panose="020B0604020202020204" pitchFamily="34" charset="0"/>
            </a:rPr>
            <a:t>Total Findings</a:t>
          </a:r>
        </a:p>
      </xdr:txBody>
    </xdr:sp>
    <xdr:clientData/>
  </xdr:twoCellAnchor>
  <xdr:twoCellAnchor>
    <xdr:from>
      <xdr:col>1</xdr:col>
      <xdr:colOff>0</xdr:colOff>
      <xdr:row>10</xdr:row>
      <xdr:rowOff>0</xdr:rowOff>
    </xdr:from>
    <xdr:to>
      <xdr:col>1</xdr:col>
      <xdr:colOff>476251</xdr:colOff>
      <xdr:row>12</xdr:row>
      <xdr:rowOff>85724</xdr:rowOff>
    </xdr:to>
    <xdr:sp macro="" textlink="">
      <xdr:nvSpPr>
        <xdr:cNvPr id="7" name="TextBox 6"/>
        <xdr:cNvSpPr txBox="1"/>
      </xdr:nvSpPr>
      <xdr:spPr>
        <a:xfrm>
          <a:off x="114300" y="2019300"/>
          <a:ext cx="476251" cy="466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bg1"/>
              </a:solidFill>
              <a:latin typeface="Webdings" panose="05030102010509060703" pitchFamily="18" charset="2"/>
              <a:cs typeface="Arial" panose="020B0604020202020204" pitchFamily="34" charset="0"/>
            </a:rPr>
            <a:t>L</a:t>
          </a:r>
          <a:endParaRPr lang="en-US" sz="1400" b="1">
            <a:solidFill>
              <a:schemeClr val="bg1"/>
            </a:solidFill>
            <a:latin typeface="Webdings" panose="05030102010509060703" pitchFamily="18" charset="2"/>
            <a:cs typeface="Arial" panose="020B0604020202020204" pitchFamily="34" charset="0"/>
          </a:endParaRPr>
        </a:p>
      </xdr:txBody>
    </xdr:sp>
    <xdr:clientData/>
  </xdr:twoCellAnchor>
  <xdr:twoCellAnchor>
    <xdr:from>
      <xdr:col>1</xdr:col>
      <xdr:colOff>0</xdr:colOff>
      <xdr:row>5</xdr:row>
      <xdr:rowOff>0</xdr:rowOff>
    </xdr:from>
    <xdr:to>
      <xdr:col>8</xdr:col>
      <xdr:colOff>0</xdr:colOff>
      <xdr:row>9</xdr:row>
      <xdr:rowOff>0</xdr:rowOff>
    </xdr:to>
    <xdr:sp macro="" textlink="">
      <xdr:nvSpPr>
        <xdr:cNvPr id="8" name="Rounded Rectangle 7"/>
        <xdr:cNvSpPr/>
      </xdr:nvSpPr>
      <xdr:spPr>
        <a:xfrm>
          <a:off x="114300" y="800100"/>
          <a:ext cx="3771900" cy="762000"/>
        </a:xfrm>
        <a:prstGeom prst="roundRect">
          <a:avLst>
            <a:gd name="adj" fmla="val 13333"/>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100"/>
        </a:p>
      </xdr:txBody>
    </xdr:sp>
    <xdr:clientData/>
  </xdr:twoCellAnchor>
  <xdr:twoCellAnchor>
    <xdr:from>
      <xdr:col>1</xdr:col>
      <xdr:colOff>251460</xdr:colOff>
      <xdr:row>5</xdr:row>
      <xdr:rowOff>0</xdr:rowOff>
    </xdr:from>
    <xdr:to>
      <xdr:col>5</xdr:col>
      <xdr:colOff>15241</xdr:colOff>
      <xdr:row>9</xdr:row>
      <xdr:rowOff>0</xdr:rowOff>
    </xdr:to>
    <xdr:sp macro="" textlink="'Current Month Pivots'!R2">
      <xdr:nvSpPr>
        <xdr:cNvPr id="9" name="TextBox 8"/>
        <xdr:cNvSpPr txBox="1"/>
      </xdr:nvSpPr>
      <xdr:spPr>
        <a:xfrm>
          <a:off x="365760" y="777240"/>
          <a:ext cx="2263141" cy="731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26576E00-48C0-4D66-8236-F97229E49070}" type="TxLink">
            <a:rPr lang="en-US" sz="3200" b="0" i="0" u="none" strike="noStrike">
              <a:solidFill>
                <a:schemeClr val="bg1"/>
              </a:solidFill>
              <a:latin typeface="Calibri"/>
              <a:cs typeface="Calibri"/>
            </a:rPr>
            <a:pPr algn="r"/>
            <a:t>May</a:t>
          </a:fld>
          <a:endParaRPr lang="en-US" sz="4800" b="1">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9</xdr:col>
      <xdr:colOff>0</xdr:colOff>
      <xdr:row>5</xdr:row>
      <xdr:rowOff>0</xdr:rowOff>
    </xdr:from>
    <xdr:to>
      <xdr:col>16</xdr:col>
      <xdr:colOff>0</xdr:colOff>
      <xdr:row>9</xdr:row>
      <xdr:rowOff>0</xdr:rowOff>
    </xdr:to>
    <mc:AlternateContent xmlns:mc="http://schemas.openxmlformats.org/markup-compatibility/2006" xmlns:a14="http://schemas.microsoft.com/office/drawing/2010/main">
      <mc:Choice Requires="a14">
        <xdr:graphicFrame macro="">
          <xdr:nvGraphicFramePr>
            <xdr:cNvPr id="12" name="Criticality 1"/>
            <xdr:cNvGraphicFramePr/>
          </xdr:nvGraphicFramePr>
          <xdr:xfrm>
            <a:off x="0" y="0"/>
            <a:ext cx="0" cy="0"/>
          </xdr:xfrm>
          <a:graphic>
            <a:graphicData uri="http://schemas.microsoft.com/office/drawing/2010/slicer">
              <sle:slicer xmlns:sle="http://schemas.microsoft.com/office/drawing/2010/slicer" name="Criticality 1"/>
            </a:graphicData>
          </a:graphic>
        </xdr:graphicFrame>
      </mc:Choice>
      <mc:Fallback xmlns="">
        <xdr:sp macro="" textlink="">
          <xdr:nvSpPr>
            <xdr:cNvPr id="0" name=""/>
            <xdr:cNvSpPr>
              <a:spLocks noTextEdit="1"/>
            </xdr:cNvSpPr>
          </xdr:nvSpPr>
          <xdr:spPr>
            <a:xfrm>
              <a:off x="4000500" y="800100"/>
              <a:ext cx="3771900" cy="762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4</xdr:col>
      <xdr:colOff>433387</xdr:colOff>
      <xdr:row>10</xdr:row>
      <xdr:rowOff>0</xdr:rowOff>
    </xdr:from>
    <xdr:to>
      <xdr:col>5</xdr:col>
      <xdr:colOff>300037</xdr:colOff>
      <xdr:row>16</xdr:row>
      <xdr:rowOff>0</xdr:rowOff>
    </xdr:to>
    <xdr:sp macro="" textlink="'Current Month Pivots'!$T$5">
      <xdr:nvSpPr>
        <xdr:cNvPr id="13" name="TextBox 12"/>
        <xdr:cNvSpPr txBox="1"/>
      </xdr:nvSpPr>
      <xdr:spPr>
        <a:xfrm>
          <a:off x="2376487" y="1676400"/>
          <a:ext cx="476250"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CBB928E-45EF-484A-86FC-8242BBB477B2}" type="TxLink">
            <a:rPr lang="en-US" sz="3200" b="0" i="0" u="none" strike="noStrike">
              <a:solidFill>
                <a:srgbClr val="E07A5F"/>
              </a:solidFill>
              <a:latin typeface="Calibri"/>
              <a:cs typeface="Calibri"/>
            </a:rPr>
            <a:pPr algn="ctr"/>
            <a:t> </a:t>
          </a:fld>
          <a:endParaRPr lang="en-US" sz="3200">
            <a:solidFill>
              <a:srgbClr val="E07A5F"/>
            </a:solidFill>
          </a:endParaRPr>
        </a:p>
      </xdr:txBody>
    </xdr:sp>
    <xdr:clientData/>
  </xdr:twoCellAnchor>
  <xdr:twoCellAnchor>
    <xdr:from>
      <xdr:col>4</xdr:col>
      <xdr:colOff>395287</xdr:colOff>
      <xdr:row>10</xdr:row>
      <xdr:rowOff>1</xdr:rowOff>
    </xdr:from>
    <xdr:to>
      <xdr:col>5</xdr:col>
      <xdr:colOff>338137</xdr:colOff>
      <xdr:row>16</xdr:row>
      <xdr:rowOff>1</xdr:rowOff>
    </xdr:to>
    <xdr:sp macro="" textlink="'Current Month Pivots'!$U$5">
      <xdr:nvSpPr>
        <xdr:cNvPr id="14" name="TextBox 13"/>
        <xdr:cNvSpPr txBox="1"/>
      </xdr:nvSpPr>
      <xdr:spPr>
        <a:xfrm>
          <a:off x="2338387" y="1676401"/>
          <a:ext cx="552450"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A20B73B-D66C-4FB9-91CA-32801CD1C37E}" type="TxLink">
            <a:rPr lang="en-US" sz="3200" b="0" i="0" u="none" strike="noStrike">
              <a:solidFill>
                <a:srgbClr val="81B29A"/>
              </a:solidFill>
              <a:latin typeface="Calibri"/>
              <a:cs typeface="Calibri"/>
            </a:rPr>
            <a:pPr algn="ctr"/>
            <a:t>3</a:t>
          </a:fld>
          <a:endParaRPr lang="en-US" sz="3200">
            <a:solidFill>
              <a:srgbClr val="81B29A"/>
            </a:solidFill>
          </a:endParaRPr>
        </a:p>
      </xdr:txBody>
    </xdr:sp>
    <xdr:clientData/>
  </xdr:twoCellAnchor>
  <xdr:twoCellAnchor>
    <xdr:from>
      <xdr:col>5</xdr:col>
      <xdr:colOff>247649</xdr:colOff>
      <xdr:row>10</xdr:row>
      <xdr:rowOff>0</xdr:rowOff>
    </xdr:from>
    <xdr:to>
      <xdr:col>7</xdr:col>
      <xdr:colOff>352425</xdr:colOff>
      <xdr:row>16</xdr:row>
      <xdr:rowOff>0</xdr:rowOff>
    </xdr:to>
    <xdr:sp macro="" textlink="">
      <xdr:nvSpPr>
        <xdr:cNvPr id="15" name="TextBox 14"/>
        <xdr:cNvSpPr txBox="1"/>
      </xdr:nvSpPr>
      <xdr:spPr>
        <a:xfrm>
          <a:off x="2800349" y="1676400"/>
          <a:ext cx="828676"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bg1">
                  <a:lumMod val="75000"/>
                </a:schemeClr>
              </a:solidFill>
              <a:latin typeface="+mn-lt"/>
              <a:cs typeface="Arial" panose="020B0604020202020204" pitchFamily="34" charset="0"/>
            </a:rPr>
            <a:t>from previous month</a:t>
          </a:r>
        </a:p>
      </xdr:txBody>
    </xdr:sp>
    <xdr:clientData/>
  </xdr:twoCellAnchor>
  <xdr:twoCellAnchor>
    <xdr:from>
      <xdr:col>1</xdr:col>
      <xdr:colOff>0</xdr:colOff>
      <xdr:row>5</xdr:row>
      <xdr:rowOff>1</xdr:rowOff>
    </xdr:from>
    <xdr:to>
      <xdr:col>2</xdr:col>
      <xdr:colOff>219075</xdr:colOff>
      <xdr:row>6</xdr:row>
      <xdr:rowOff>161925</xdr:rowOff>
    </xdr:to>
    <xdr:sp macro="" textlink="">
      <xdr:nvSpPr>
        <xdr:cNvPr id="16" name="TextBox 15"/>
        <xdr:cNvSpPr txBox="1"/>
      </xdr:nvSpPr>
      <xdr:spPr>
        <a:xfrm>
          <a:off x="114300" y="800101"/>
          <a:ext cx="82867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latin typeface="Arial" panose="020B0604020202020204" pitchFamily="34" charset="0"/>
              <a:cs typeface="Arial" panose="020B0604020202020204" pitchFamily="34" charset="0"/>
            </a:rPr>
            <a:t>Date</a:t>
          </a:r>
          <a:endParaRPr lang="en-US" sz="1100" b="0">
            <a:solidFill>
              <a:schemeClr val="bg1"/>
            </a:solidFill>
            <a:latin typeface="Arial" panose="020B0604020202020204" pitchFamily="34" charset="0"/>
            <a:cs typeface="Arial" panose="020B0604020202020204" pitchFamily="34" charset="0"/>
          </a:endParaRPr>
        </a:p>
      </xdr:txBody>
    </xdr:sp>
    <xdr:clientData/>
  </xdr:twoCellAnchor>
  <xdr:twoCellAnchor>
    <xdr:from>
      <xdr:col>4</xdr:col>
      <xdr:colOff>92868</xdr:colOff>
      <xdr:row>10</xdr:row>
      <xdr:rowOff>0</xdr:rowOff>
    </xdr:from>
    <xdr:to>
      <xdr:col>5</xdr:col>
      <xdr:colOff>54768</xdr:colOff>
      <xdr:row>16</xdr:row>
      <xdr:rowOff>0</xdr:rowOff>
    </xdr:to>
    <xdr:sp macro="" textlink="'Current Month Pivots'!V5">
      <xdr:nvSpPr>
        <xdr:cNvPr id="18" name="TextBox 17"/>
        <xdr:cNvSpPr txBox="1"/>
      </xdr:nvSpPr>
      <xdr:spPr>
        <a:xfrm>
          <a:off x="2035968" y="1676400"/>
          <a:ext cx="571500"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26E692-1F3D-4B78-BCF5-4D04FD11C372}" type="TxLink">
            <a:rPr lang="en-US" sz="2000" b="0" i="0" u="none" strike="noStrike">
              <a:solidFill>
                <a:srgbClr val="E07A5F"/>
              </a:solidFill>
              <a:latin typeface="Wingdings 3"/>
            </a:rPr>
            <a:pPr algn="ctr"/>
            <a:t> </a:t>
          </a:fld>
          <a:endParaRPr lang="en-US" sz="2000">
            <a:solidFill>
              <a:srgbClr val="E07A5F"/>
            </a:solidFill>
          </a:endParaRPr>
        </a:p>
      </xdr:txBody>
    </xdr:sp>
    <xdr:clientData/>
  </xdr:twoCellAnchor>
  <xdr:twoCellAnchor>
    <xdr:from>
      <xdr:col>4</xdr:col>
      <xdr:colOff>92868</xdr:colOff>
      <xdr:row>10</xdr:row>
      <xdr:rowOff>9525</xdr:rowOff>
    </xdr:from>
    <xdr:to>
      <xdr:col>5</xdr:col>
      <xdr:colOff>54768</xdr:colOff>
      <xdr:row>16</xdr:row>
      <xdr:rowOff>0</xdr:rowOff>
    </xdr:to>
    <xdr:sp macro="" textlink="'Current Month Pivots'!W5">
      <xdr:nvSpPr>
        <xdr:cNvPr id="19" name="TextBox 18"/>
        <xdr:cNvSpPr txBox="1"/>
      </xdr:nvSpPr>
      <xdr:spPr>
        <a:xfrm>
          <a:off x="2035968" y="1685925"/>
          <a:ext cx="571500" cy="1133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177E1CD-3408-44A6-8663-86A54FDA7752}" type="TxLink">
            <a:rPr lang="en-US" sz="2000" b="0" i="0" u="none" strike="noStrike">
              <a:solidFill>
                <a:srgbClr val="81B29A"/>
              </a:solidFill>
              <a:latin typeface="Wingdings 3"/>
            </a:rPr>
            <a:pPr algn="ctr"/>
            <a:t>q</a:t>
          </a:fld>
          <a:endParaRPr lang="en-US" sz="2000">
            <a:solidFill>
              <a:srgbClr val="81B29A"/>
            </a:solidFill>
          </a:endParaRPr>
        </a:p>
      </xdr:txBody>
    </xdr:sp>
    <xdr:clientData/>
  </xdr:twoCellAnchor>
  <xdr:twoCellAnchor>
    <xdr:from>
      <xdr:col>1</xdr:col>
      <xdr:colOff>0</xdr:colOff>
      <xdr:row>26</xdr:row>
      <xdr:rowOff>0</xdr:rowOff>
    </xdr:from>
    <xdr:to>
      <xdr:col>8</xdr:col>
      <xdr:colOff>0</xdr:colOff>
      <xdr:row>34</xdr:row>
      <xdr:rowOff>0</xdr:rowOff>
    </xdr:to>
    <xdr:sp macro="" textlink="">
      <xdr:nvSpPr>
        <xdr:cNvPr id="23" name="Rounded Rectangle 22"/>
        <xdr:cNvSpPr/>
      </xdr:nvSpPr>
      <xdr:spPr>
        <a:xfrm>
          <a:off x="114300" y="4572000"/>
          <a:ext cx="3771900" cy="1714500"/>
        </a:xfrm>
        <a:prstGeom prst="roundRect">
          <a:avLst>
            <a:gd name="adj" fmla="val 6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17</xdr:row>
      <xdr:rowOff>0</xdr:rowOff>
    </xdr:from>
    <xdr:to>
      <xdr:col>8</xdr:col>
      <xdr:colOff>0</xdr:colOff>
      <xdr:row>25</xdr:row>
      <xdr:rowOff>0</xdr:rowOff>
    </xdr:to>
    <xdr:sp macro="" textlink="">
      <xdr:nvSpPr>
        <xdr:cNvPr id="25" name="Rounded Rectangle 24"/>
        <xdr:cNvSpPr/>
      </xdr:nvSpPr>
      <xdr:spPr>
        <a:xfrm>
          <a:off x="114300" y="3009900"/>
          <a:ext cx="3771900" cy="1524000"/>
        </a:xfrm>
        <a:prstGeom prst="roundRect">
          <a:avLst>
            <a:gd name="adj" fmla="val 6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0</xdr:colOff>
      <xdr:row>17</xdr:row>
      <xdr:rowOff>0</xdr:rowOff>
    </xdr:from>
    <xdr:to>
      <xdr:col>18</xdr:col>
      <xdr:colOff>553212</xdr:colOff>
      <xdr:row>25</xdr:row>
      <xdr:rowOff>0</xdr:rowOff>
    </xdr:to>
    <xdr:sp macro="" textlink="">
      <xdr:nvSpPr>
        <xdr:cNvPr id="28" name="Rounded Rectangle 27"/>
        <xdr:cNvSpPr/>
      </xdr:nvSpPr>
      <xdr:spPr>
        <a:xfrm>
          <a:off x="6553200" y="2933700"/>
          <a:ext cx="2496312" cy="1524000"/>
        </a:xfrm>
        <a:prstGeom prst="roundRect">
          <a:avLst>
            <a:gd name="adj" fmla="val 6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56388</xdr:colOff>
      <xdr:row>17</xdr:row>
      <xdr:rowOff>0</xdr:rowOff>
    </xdr:from>
    <xdr:to>
      <xdr:col>24</xdr:col>
      <xdr:colOff>0</xdr:colOff>
      <xdr:row>25</xdr:row>
      <xdr:rowOff>3048</xdr:rowOff>
    </xdr:to>
    <xdr:sp macro="" textlink="">
      <xdr:nvSpPr>
        <xdr:cNvPr id="29" name="Rounded Rectangle 28"/>
        <xdr:cNvSpPr/>
      </xdr:nvSpPr>
      <xdr:spPr>
        <a:xfrm>
          <a:off x="9162288" y="2933700"/>
          <a:ext cx="2496312" cy="1527048"/>
        </a:xfrm>
        <a:prstGeom prst="roundRect">
          <a:avLst>
            <a:gd name="adj" fmla="val 6653"/>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0</xdr:colOff>
      <xdr:row>26</xdr:row>
      <xdr:rowOff>0</xdr:rowOff>
    </xdr:from>
    <xdr:to>
      <xdr:col>18</xdr:col>
      <xdr:colOff>553212</xdr:colOff>
      <xdr:row>34</xdr:row>
      <xdr:rowOff>0</xdr:rowOff>
    </xdr:to>
    <xdr:sp macro="" textlink="">
      <xdr:nvSpPr>
        <xdr:cNvPr id="30" name="Rounded Rectangle 29"/>
        <xdr:cNvSpPr/>
      </xdr:nvSpPr>
      <xdr:spPr>
        <a:xfrm>
          <a:off x="6553200" y="4572000"/>
          <a:ext cx="2496312" cy="1524000"/>
        </a:xfrm>
        <a:prstGeom prst="roundRect">
          <a:avLst>
            <a:gd name="adj" fmla="val 6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56388</xdr:colOff>
      <xdr:row>26</xdr:row>
      <xdr:rowOff>0</xdr:rowOff>
    </xdr:from>
    <xdr:to>
      <xdr:col>24</xdr:col>
      <xdr:colOff>0</xdr:colOff>
      <xdr:row>34</xdr:row>
      <xdr:rowOff>0</xdr:rowOff>
    </xdr:to>
    <xdr:sp macro="" textlink="">
      <xdr:nvSpPr>
        <xdr:cNvPr id="31" name="Rounded Rectangle 30"/>
        <xdr:cNvSpPr/>
      </xdr:nvSpPr>
      <xdr:spPr>
        <a:xfrm>
          <a:off x="9162288" y="4572000"/>
          <a:ext cx="2496312" cy="1524000"/>
        </a:xfrm>
        <a:prstGeom prst="roundRect">
          <a:avLst>
            <a:gd name="adj" fmla="val 6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466249</xdr:colOff>
      <xdr:row>5</xdr:row>
      <xdr:rowOff>0</xdr:rowOff>
    </xdr:from>
    <xdr:to>
      <xdr:col>7</xdr:col>
      <xdr:colOff>337661</xdr:colOff>
      <xdr:row>9</xdr:row>
      <xdr:rowOff>1</xdr:rowOff>
    </xdr:to>
    <xdr:sp macro="" textlink="'Current Month Pivots'!R3">
      <xdr:nvSpPr>
        <xdr:cNvPr id="39" name="TextBox 38"/>
        <xdr:cNvSpPr txBox="1"/>
      </xdr:nvSpPr>
      <xdr:spPr>
        <a:xfrm>
          <a:off x="2455069" y="777240"/>
          <a:ext cx="1235392" cy="731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5050D9-2F06-40D3-A845-A7EB3CA68169}" type="TxLink">
            <a:rPr lang="en-US" sz="3200" b="0" i="0" u="none" strike="noStrike">
              <a:solidFill>
                <a:schemeClr val="bg1"/>
              </a:solidFill>
              <a:latin typeface="Calibri"/>
              <a:cs typeface="Calibri"/>
            </a:rPr>
            <a:pPr algn="ctr"/>
            <a:t>2021</a:t>
          </a:fld>
          <a:endParaRPr lang="en-US" sz="8000" b="1">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19050</xdr:colOff>
      <xdr:row>17</xdr:row>
      <xdr:rowOff>19050</xdr:rowOff>
    </xdr:from>
    <xdr:to>
      <xdr:col>3</xdr:col>
      <xdr:colOff>304801</xdr:colOff>
      <xdr:row>18</xdr:row>
      <xdr:rowOff>185166</xdr:rowOff>
    </xdr:to>
    <xdr:sp macro="" textlink="">
      <xdr:nvSpPr>
        <xdr:cNvPr id="55" name="TextBox 54"/>
        <xdr:cNvSpPr txBox="1"/>
      </xdr:nvSpPr>
      <xdr:spPr>
        <a:xfrm>
          <a:off x="133350" y="2952750"/>
          <a:ext cx="1504951" cy="356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latin typeface="Arial" panose="020B0604020202020204" pitchFamily="34" charset="0"/>
              <a:cs typeface="Arial" panose="020B0604020202020204" pitchFamily="34" charset="0"/>
            </a:rPr>
            <a:t>Criticality</a:t>
          </a:r>
          <a:endParaRPr lang="en-US" sz="1100" b="0">
            <a:solidFill>
              <a:schemeClr val="bg1"/>
            </a:solidFill>
            <a:latin typeface="Arial" panose="020B0604020202020204" pitchFamily="34" charset="0"/>
            <a:cs typeface="Arial" panose="020B0604020202020204" pitchFamily="34" charset="0"/>
          </a:endParaRPr>
        </a:p>
      </xdr:txBody>
    </xdr:sp>
    <xdr:clientData/>
  </xdr:twoCellAnchor>
  <xdr:twoCellAnchor>
    <xdr:from>
      <xdr:col>1</xdr:col>
      <xdr:colOff>19050</xdr:colOff>
      <xdr:row>26</xdr:row>
      <xdr:rowOff>19050</xdr:rowOff>
    </xdr:from>
    <xdr:to>
      <xdr:col>4</xdr:col>
      <xdr:colOff>209550</xdr:colOff>
      <xdr:row>27</xdr:row>
      <xdr:rowOff>180974</xdr:rowOff>
    </xdr:to>
    <xdr:sp macro="" textlink="">
      <xdr:nvSpPr>
        <xdr:cNvPr id="56" name="TextBox 55"/>
        <xdr:cNvSpPr txBox="1"/>
      </xdr:nvSpPr>
      <xdr:spPr>
        <a:xfrm>
          <a:off x="133350" y="4591050"/>
          <a:ext cx="2019300"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latin typeface="Arial" panose="020B0604020202020204" pitchFamily="34" charset="0"/>
              <a:cs typeface="Arial" panose="020B0604020202020204" pitchFamily="34" charset="0"/>
            </a:rPr>
            <a:t>Plan</a:t>
          </a:r>
          <a:r>
            <a:rPr lang="en-US" sz="1600" b="0" baseline="0">
              <a:solidFill>
                <a:schemeClr val="bg1"/>
              </a:solidFill>
              <a:latin typeface="Arial" panose="020B0604020202020204" pitchFamily="34" charset="0"/>
              <a:cs typeface="Arial" panose="020B0604020202020204" pitchFamily="34" charset="0"/>
            </a:rPr>
            <a:t> Status</a:t>
          </a:r>
          <a:endParaRPr lang="en-US" sz="1100" b="0">
            <a:solidFill>
              <a:schemeClr val="bg1"/>
            </a:solidFill>
            <a:latin typeface="Arial" panose="020B0604020202020204" pitchFamily="34" charset="0"/>
            <a:cs typeface="Arial" panose="020B0604020202020204" pitchFamily="34" charset="0"/>
          </a:endParaRPr>
        </a:p>
      </xdr:txBody>
    </xdr:sp>
    <xdr:clientData/>
  </xdr:twoCellAnchor>
  <xdr:twoCellAnchor>
    <xdr:from>
      <xdr:col>9</xdr:col>
      <xdr:colOff>19050</xdr:colOff>
      <xdr:row>17</xdr:row>
      <xdr:rowOff>19050</xdr:rowOff>
    </xdr:from>
    <xdr:to>
      <xdr:col>12</xdr:col>
      <xdr:colOff>600075</xdr:colOff>
      <xdr:row>18</xdr:row>
      <xdr:rowOff>180974</xdr:rowOff>
    </xdr:to>
    <xdr:sp macro="" textlink="">
      <xdr:nvSpPr>
        <xdr:cNvPr id="57" name="TextBox 56"/>
        <xdr:cNvSpPr txBox="1"/>
      </xdr:nvSpPr>
      <xdr:spPr>
        <a:xfrm>
          <a:off x="4019550" y="2952750"/>
          <a:ext cx="24098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latin typeface="Arial" panose="020B0604020202020204" pitchFamily="34" charset="0"/>
              <a:cs typeface="Arial" panose="020B0604020202020204" pitchFamily="34" charset="0"/>
            </a:rPr>
            <a:t>Findings</a:t>
          </a:r>
          <a:r>
            <a:rPr lang="en-US" sz="1600" b="0" baseline="0">
              <a:solidFill>
                <a:schemeClr val="bg1"/>
              </a:solidFill>
              <a:latin typeface="Arial" panose="020B0604020202020204" pitchFamily="34" charset="0"/>
              <a:cs typeface="Arial" panose="020B0604020202020204" pitchFamily="34" charset="0"/>
            </a:rPr>
            <a:t> by Owner</a:t>
          </a:r>
          <a:endParaRPr lang="en-US" sz="1100" b="0">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19050</xdr:colOff>
      <xdr:row>17</xdr:row>
      <xdr:rowOff>19050</xdr:rowOff>
    </xdr:from>
    <xdr:to>
      <xdr:col>18</xdr:col>
      <xdr:colOff>180975</xdr:colOff>
      <xdr:row>18</xdr:row>
      <xdr:rowOff>180974</xdr:rowOff>
    </xdr:to>
    <xdr:sp macro="" textlink="">
      <xdr:nvSpPr>
        <xdr:cNvPr id="58" name="TextBox 57"/>
        <xdr:cNvSpPr txBox="1"/>
      </xdr:nvSpPr>
      <xdr:spPr>
        <a:xfrm>
          <a:off x="6572250" y="2952750"/>
          <a:ext cx="21050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latin typeface="Arial" panose="020B0604020202020204" pitchFamily="34" charset="0"/>
              <a:cs typeface="Arial" panose="020B0604020202020204" pitchFamily="34" charset="0"/>
            </a:rPr>
            <a:t>Average Days Open</a:t>
          </a:r>
          <a:endParaRPr lang="en-US" sz="1400" b="0">
            <a:solidFill>
              <a:schemeClr val="bg1"/>
            </a:solidFill>
            <a:latin typeface="Arial" panose="020B0604020202020204" pitchFamily="34" charset="0"/>
            <a:cs typeface="Arial" panose="020B0604020202020204" pitchFamily="34" charset="0"/>
          </a:endParaRPr>
        </a:p>
      </xdr:txBody>
    </xdr:sp>
    <xdr:clientData/>
  </xdr:twoCellAnchor>
  <xdr:twoCellAnchor>
    <xdr:from>
      <xdr:col>19</xdr:col>
      <xdr:colOff>85725</xdr:colOff>
      <xdr:row>17</xdr:row>
      <xdr:rowOff>19050</xdr:rowOff>
    </xdr:from>
    <xdr:to>
      <xdr:col>23</xdr:col>
      <xdr:colOff>190500</xdr:colOff>
      <xdr:row>18</xdr:row>
      <xdr:rowOff>180974</xdr:rowOff>
    </xdr:to>
    <xdr:sp macro="" textlink="">
      <xdr:nvSpPr>
        <xdr:cNvPr id="59" name="TextBox 58"/>
        <xdr:cNvSpPr txBox="1"/>
      </xdr:nvSpPr>
      <xdr:spPr>
        <a:xfrm>
          <a:off x="9191625" y="2952750"/>
          <a:ext cx="204787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latin typeface="Arial" panose="020B0604020202020204" pitchFamily="34" charset="0"/>
              <a:cs typeface="Arial" panose="020B0604020202020204" pitchFamily="34" charset="0"/>
            </a:rPr>
            <a:t>Pending Verification</a:t>
          </a:r>
          <a:endParaRPr lang="en-US" sz="1400" b="0">
            <a:solidFill>
              <a:schemeClr val="bg1"/>
            </a:solidFill>
            <a:latin typeface="Arial" panose="020B0604020202020204" pitchFamily="34" charset="0"/>
            <a:cs typeface="Arial" panose="020B0604020202020204" pitchFamily="34" charset="0"/>
          </a:endParaRPr>
        </a:p>
      </xdr:txBody>
    </xdr:sp>
    <xdr:clientData/>
  </xdr:twoCellAnchor>
  <xdr:twoCellAnchor>
    <xdr:from>
      <xdr:col>14</xdr:col>
      <xdr:colOff>19050</xdr:colOff>
      <xdr:row>26</xdr:row>
      <xdr:rowOff>19050</xdr:rowOff>
    </xdr:from>
    <xdr:to>
      <xdr:col>17</xdr:col>
      <xdr:colOff>561976</xdr:colOff>
      <xdr:row>27</xdr:row>
      <xdr:rowOff>180974</xdr:rowOff>
    </xdr:to>
    <xdr:sp macro="" textlink="">
      <xdr:nvSpPr>
        <xdr:cNvPr id="60" name="TextBox 59"/>
        <xdr:cNvSpPr txBox="1"/>
      </xdr:nvSpPr>
      <xdr:spPr>
        <a:xfrm>
          <a:off x="6572250" y="4591050"/>
          <a:ext cx="1876426"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latin typeface="Arial" panose="020B0604020202020204" pitchFamily="34" charset="0"/>
              <a:cs typeface="Arial" panose="020B0604020202020204" pitchFamily="34" charset="0"/>
            </a:rPr>
            <a:t>Tech Dependency</a:t>
          </a:r>
          <a:endParaRPr lang="en-US" sz="1400" b="0">
            <a:solidFill>
              <a:schemeClr val="bg1"/>
            </a:solidFill>
            <a:latin typeface="Arial" panose="020B0604020202020204" pitchFamily="34" charset="0"/>
            <a:cs typeface="Arial" panose="020B0604020202020204" pitchFamily="34" charset="0"/>
          </a:endParaRPr>
        </a:p>
      </xdr:txBody>
    </xdr:sp>
    <xdr:clientData/>
  </xdr:twoCellAnchor>
  <xdr:twoCellAnchor>
    <xdr:from>
      <xdr:col>19</xdr:col>
      <xdr:colOff>85725</xdr:colOff>
      <xdr:row>26</xdr:row>
      <xdr:rowOff>19050</xdr:rowOff>
    </xdr:from>
    <xdr:to>
      <xdr:col>23</xdr:col>
      <xdr:colOff>133350</xdr:colOff>
      <xdr:row>27</xdr:row>
      <xdr:rowOff>180974</xdr:rowOff>
    </xdr:to>
    <xdr:sp macro="" textlink="">
      <xdr:nvSpPr>
        <xdr:cNvPr id="61" name="TextBox 60"/>
        <xdr:cNvSpPr txBox="1"/>
      </xdr:nvSpPr>
      <xdr:spPr>
        <a:xfrm>
          <a:off x="9191625" y="4591050"/>
          <a:ext cx="1990725" cy="3524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600" b="0">
              <a:solidFill>
                <a:schemeClr val="bg1"/>
              </a:solidFill>
              <a:latin typeface="Arial" panose="020B0604020202020204" pitchFamily="34" charset="0"/>
              <a:cs typeface="Arial" panose="020B0604020202020204" pitchFamily="34" charset="0"/>
            </a:rPr>
            <a:t>Fraud Dependency</a:t>
          </a:r>
          <a:endParaRPr lang="en-US" sz="1400" b="0">
            <a:solidFill>
              <a:schemeClr val="bg1"/>
            </a:solidFill>
            <a:latin typeface="Arial" panose="020B0604020202020204" pitchFamily="34" charset="0"/>
            <a:cs typeface="Arial" panose="020B0604020202020204" pitchFamily="34" charset="0"/>
          </a:endParaRPr>
        </a:p>
      </xdr:txBody>
    </xdr:sp>
    <xdr:clientData/>
  </xdr:twoCellAnchor>
  <xdr:twoCellAnchor>
    <xdr:from>
      <xdr:col>9</xdr:col>
      <xdr:colOff>0</xdr:colOff>
      <xdr:row>10</xdr:row>
      <xdr:rowOff>0</xdr:rowOff>
    </xdr:from>
    <xdr:to>
      <xdr:col>16</xdr:col>
      <xdr:colOff>0</xdr:colOff>
      <xdr:row>15</xdr:row>
      <xdr:rowOff>190499</xdr:rowOff>
    </xdr:to>
    <xdr:sp macro="" textlink="">
      <xdr:nvSpPr>
        <xdr:cNvPr id="72" name="Rounded Rectangle 71"/>
        <xdr:cNvSpPr/>
      </xdr:nvSpPr>
      <xdr:spPr>
        <a:xfrm>
          <a:off x="114300" y="1676400"/>
          <a:ext cx="3771900" cy="1142999"/>
        </a:xfrm>
        <a:prstGeom prst="roundRect">
          <a:avLst>
            <a:gd name="adj" fmla="val 8889"/>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590550</xdr:colOff>
      <xdr:row>10</xdr:row>
      <xdr:rowOff>0</xdr:rowOff>
    </xdr:from>
    <xdr:to>
      <xdr:col>12</xdr:col>
      <xdr:colOff>219075</xdr:colOff>
      <xdr:row>16</xdr:row>
      <xdr:rowOff>0</xdr:rowOff>
    </xdr:to>
    <xdr:sp macro="" textlink="'Current Month Pivots'!R6">
      <xdr:nvSpPr>
        <xdr:cNvPr id="73" name="TextBox 72"/>
        <xdr:cNvSpPr txBox="1"/>
      </xdr:nvSpPr>
      <xdr:spPr>
        <a:xfrm>
          <a:off x="1314450" y="1676400"/>
          <a:ext cx="847725"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B3CA6CD-B1C1-4753-82D7-EE0EFE86BEDB}" type="TxLink">
            <a:rPr lang="en-US" sz="4400" b="0" i="0" u="none" strike="noStrike">
              <a:solidFill>
                <a:schemeClr val="bg1"/>
              </a:solidFill>
              <a:latin typeface="Calibri"/>
              <a:cs typeface="Calibri"/>
            </a:rPr>
            <a:pPr algn="ctr"/>
            <a:t>3</a:t>
          </a:fld>
          <a:endParaRPr lang="en-US" sz="4400" b="1">
            <a:solidFill>
              <a:schemeClr val="bg1"/>
            </a:solidFill>
            <a:latin typeface="Arial" panose="020B0604020202020204" pitchFamily="34" charset="0"/>
            <a:cs typeface="Arial" panose="020B0604020202020204" pitchFamily="34" charset="0"/>
          </a:endParaRPr>
        </a:p>
      </xdr:txBody>
    </xdr:sp>
    <xdr:clientData/>
  </xdr:twoCellAnchor>
  <xdr:twoCellAnchor>
    <xdr:from>
      <xdr:col>9</xdr:col>
      <xdr:colOff>190499</xdr:colOff>
      <xdr:row>10</xdr:row>
      <xdr:rowOff>0</xdr:rowOff>
    </xdr:from>
    <xdr:to>
      <xdr:col>11</xdr:col>
      <xdr:colOff>66674</xdr:colOff>
      <xdr:row>16</xdr:row>
      <xdr:rowOff>0</xdr:rowOff>
    </xdr:to>
    <xdr:sp macro="" textlink="">
      <xdr:nvSpPr>
        <xdr:cNvPr id="74" name="TextBox 73"/>
        <xdr:cNvSpPr txBox="1"/>
      </xdr:nvSpPr>
      <xdr:spPr>
        <a:xfrm>
          <a:off x="304799" y="1676400"/>
          <a:ext cx="1095375"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800" b="0">
              <a:solidFill>
                <a:schemeClr val="bg1"/>
              </a:solidFill>
              <a:latin typeface="Arial" panose="020B0604020202020204" pitchFamily="34" charset="0"/>
              <a:cs typeface="Arial" panose="020B0604020202020204" pitchFamily="34" charset="0"/>
            </a:rPr>
            <a:t>Closures</a:t>
          </a:r>
        </a:p>
      </xdr:txBody>
    </xdr:sp>
    <xdr:clientData/>
  </xdr:twoCellAnchor>
  <xdr:twoCellAnchor>
    <xdr:from>
      <xdr:col>14</xdr:col>
      <xdr:colOff>142874</xdr:colOff>
      <xdr:row>10</xdr:row>
      <xdr:rowOff>0</xdr:rowOff>
    </xdr:from>
    <xdr:to>
      <xdr:col>15</xdr:col>
      <xdr:colOff>365378</xdr:colOff>
      <xdr:row>16</xdr:row>
      <xdr:rowOff>0</xdr:rowOff>
    </xdr:to>
    <xdr:sp macro="" textlink="">
      <xdr:nvSpPr>
        <xdr:cNvPr id="78" name="TextBox 77"/>
        <xdr:cNvSpPr txBox="1"/>
      </xdr:nvSpPr>
      <xdr:spPr>
        <a:xfrm>
          <a:off x="6696074" y="1676400"/>
          <a:ext cx="832104"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bg1">
                  <a:lumMod val="75000"/>
                </a:schemeClr>
              </a:solidFill>
              <a:latin typeface="+mn-lt"/>
              <a:cs typeface="Arial" panose="020B0604020202020204" pitchFamily="34" charset="0"/>
            </a:rPr>
            <a:t>from previous month</a:t>
          </a:r>
        </a:p>
      </xdr:txBody>
    </xdr:sp>
    <xdr:clientData/>
  </xdr:twoCellAnchor>
  <xdr:twoCellAnchor>
    <xdr:from>
      <xdr:col>17</xdr:col>
      <xdr:colOff>0</xdr:colOff>
      <xdr:row>10</xdr:row>
      <xdr:rowOff>0</xdr:rowOff>
    </xdr:from>
    <xdr:to>
      <xdr:col>24</xdr:col>
      <xdr:colOff>0</xdr:colOff>
      <xdr:row>15</xdr:row>
      <xdr:rowOff>190499</xdr:rowOff>
    </xdr:to>
    <xdr:sp macro="" textlink="">
      <xdr:nvSpPr>
        <xdr:cNvPr id="81" name="Rounded Rectangle 80"/>
        <xdr:cNvSpPr/>
      </xdr:nvSpPr>
      <xdr:spPr>
        <a:xfrm>
          <a:off x="114300" y="1676400"/>
          <a:ext cx="3771900" cy="1142999"/>
        </a:xfrm>
        <a:prstGeom prst="roundRect">
          <a:avLst>
            <a:gd name="adj" fmla="val 8889"/>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590550</xdr:colOff>
      <xdr:row>10</xdr:row>
      <xdr:rowOff>0</xdr:rowOff>
    </xdr:from>
    <xdr:to>
      <xdr:col>21</xdr:col>
      <xdr:colOff>107442</xdr:colOff>
      <xdr:row>16</xdr:row>
      <xdr:rowOff>0</xdr:rowOff>
    </xdr:to>
    <xdr:sp macro="" textlink="'Current Month Pivots'!R7">
      <xdr:nvSpPr>
        <xdr:cNvPr id="82" name="TextBox 81"/>
        <xdr:cNvSpPr txBox="1"/>
      </xdr:nvSpPr>
      <xdr:spPr>
        <a:xfrm>
          <a:off x="9086850" y="1676400"/>
          <a:ext cx="850392"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956F4BE-D628-453C-BC4B-EB4AD34D3EAC}" type="TxLink">
            <a:rPr lang="en-US" sz="4400" b="0" i="0" u="none" strike="noStrike">
              <a:solidFill>
                <a:schemeClr val="bg1"/>
              </a:solidFill>
              <a:latin typeface="Calibri"/>
              <a:cs typeface="Calibri"/>
            </a:rPr>
            <a:pPr algn="ctr"/>
            <a:t>1</a:t>
          </a:fld>
          <a:endParaRPr lang="en-US" sz="4400" b="1">
            <a:solidFill>
              <a:schemeClr val="bg1"/>
            </a:solidFill>
            <a:latin typeface="Arial" panose="020B0604020202020204" pitchFamily="34" charset="0"/>
            <a:cs typeface="Arial" panose="020B0604020202020204" pitchFamily="34" charset="0"/>
          </a:endParaRPr>
        </a:p>
      </xdr:txBody>
    </xdr:sp>
    <xdr:clientData/>
  </xdr:twoCellAnchor>
  <xdr:twoCellAnchor>
    <xdr:from>
      <xdr:col>17</xdr:col>
      <xdr:colOff>95250</xdr:colOff>
      <xdr:row>10</xdr:row>
      <xdr:rowOff>0</xdr:rowOff>
    </xdr:from>
    <xdr:to>
      <xdr:col>19</xdr:col>
      <xdr:colOff>68580</xdr:colOff>
      <xdr:row>16</xdr:row>
      <xdr:rowOff>0</xdr:rowOff>
    </xdr:to>
    <xdr:sp macro="" textlink="">
      <xdr:nvSpPr>
        <xdr:cNvPr id="83" name="TextBox 82"/>
        <xdr:cNvSpPr txBox="1"/>
      </xdr:nvSpPr>
      <xdr:spPr>
        <a:xfrm>
          <a:off x="7981950" y="1676400"/>
          <a:ext cx="1192530"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800" b="0">
              <a:solidFill>
                <a:schemeClr val="bg1"/>
              </a:solidFill>
              <a:latin typeface="Arial" panose="020B0604020202020204" pitchFamily="34" charset="0"/>
              <a:cs typeface="Arial" panose="020B0604020202020204" pitchFamily="34" charset="0"/>
            </a:rPr>
            <a:t>Retargets</a:t>
          </a:r>
        </a:p>
      </xdr:txBody>
    </xdr:sp>
    <xdr:clientData/>
  </xdr:twoCellAnchor>
  <xdr:twoCellAnchor>
    <xdr:from>
      <xdr:col>9</xdr:col>
      <xdr:colOff>0</xdr:colOff>
      <xdr:row>10</xdr:row>
      <xdr:rowOff>0</xdr:rowOff>
    </xdr:from>
    <xdr:to>
      <xdr:col>9</xdr:col>
      <xdr:colOff>476251</xdr:colOff>
      <xdr:row>12</xdr:row>
      <xdr:rowOff>85724</xdr:rowOff>
    </xdr:to>
    <xdr:sp macro="" textlink="">
      <xdr:nvSpPr>
        <xdr:cNvPr id="90" name="TextBox 89"/>
        <xdr:cNvSpPr txBox="1"/>
      </xdr:nvSpPr>
      <xdr:spPr>
        <a:xfrm>
          <a:off x="4000500" y="1676400"/>
          <a:ext cx="476251" cy="466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bg1"/>
              </a:solidFill>
              <a:latin typeface="Wingdings 2" panose="05020102010507070707" pitchFamily="18" charset="2"/>
              <a:cs typeface="Arial" panose="020B0604020202020204" pitchFamily="34" charset="0"/>
            </a:rPr>
            <a:t>R</a:t>
          </a:r>
          <a:endParaRPr lang="en-US" sz="1400" b="1">
            <a:solidFill>
              <a:schemeClr val="bg1"/>
            </a:solidFill>
            <a:latin typeface="Wingdings 2" panose="05020102010507070707" pitchFamily="18" charset="2"/>
            <a:cs typeface="Arial" panose="020B0604020202020204" pitchFamily="34" charset="0"/>
          </a:endParaRPr>
        </a:p>
      </xdr:txBody>
    </xdr:sp>
    <xdr:clientData/>
  </xdr:twoCellAnchor>
  <xdr:twoCellAnchor>
    <xdr:from>
      <xdr:col>17</xdr:col>
      <xdr:colOff>0</xdr:colOff>
      <xdr:row>10</xdr:row>
      <xdr:rowOff>0</xdr:rowOff>
    </xdr:from>
    <xdr:to>
      <xdr:col>17</xdr:col>
      <xdr:colOff>476251</xdr:colOff>
      <xdr:row>12</xdr:row>
      <xdr:rowOff>85724</xdr:rowOff>
    </xdr:to>
    <xdr:sp macro="" textlink="">
      <xdr:nvSpPr>
        <xdr:cNvPr id="91" name="TextBox 90"/>
        <xdr:cNvSpPr txBox="1"/>
      </xdr:nvSpPr>
      <xdr:spPr>
        <a:xfrm>
          <a:off x="7886700" y="1676400"/>
          <a:ext cx="476251" cy="466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0">
              <a:solidFill>
                <a:schemeClr val="bg1"/>
              </a:solidFill>
              <a:latin typeface="Wingdings" panose="05000000000000000000" pitchFamily="2" charset="2"/>
              <a:cs typeface="Arial" panose="020B0604020202020204" pitchFamily="34" charset="0"/>
            </a:rPr>
            <a:t>¥</a:t>
          </a:r>
          <a:endParaRPr lang="en-US" sz="1400" b="0">
            <a:solidFill>
              <a:schemeClr val="bg1"/>
            </a:solidFill>
            <a:latin typeface="Wingdings" panose="05000000000000000000" pitchFamily="2" charset="2"/>
            <a:cs typeface="Arial" panose="020B0604020202020204" pitchFamily="34" charset="0"/>
          </a:endParaRPr>
        </a:p>
      </xdr:txBody>
    </xdr:sp>
    <xdr:clientData/>
  </xdr:twoCellAnchor>
  <xdr:twoCellAnchor>
    <xdr:from>
      <xdr:col>22</xdr:col>
      <xdr:colOff>152400</xdr:colOff>
      <xdr:row>10</xdr:row>
      <xdr:rowOff>0</xdr:rowOff>
    </xdr:from>
    <xdr:to>
      <xdr:col>23</xdr:col>
      <xdr:colOff>374904</xdr:colOff>
      <xdr:row>16</xdr:row>
      <xdr:rowOff>0</xdr:rowOff>
    </xdr:to>
    <xdr:sp macro="" textlink="">
      <xdr:nvSpPr>
        <xdr:cNvPr id="92" name="TextBox 91"/>
        <xdr:cNvSpPr txBox="1"/>
      </xdr:nvSpPr>
      <xdr:spPr>
        <a:xfrm>
          <a:off x="10591800" y="1676400"/>
          <a:ext cx="832104"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a:solidFill>
                <a:schemeClr val="bg1">
                  <a:lumMod val="75000"/>
                </a:schemeClr>
              </a:solidFill>
              <a:latin typeface="+mn-lt"/>
              <a:cs typeface="Arial" panose="020B0604020202020204" pitchFamily="34" charset="0"/>
            </a:rPr>
            <a:t>from previous month</a:t>
          </a:r>
        </a:p>
      </xdr:txBody>
    </xdr:sp>
    <xdr:clientData/>
  </xdr:twoCellAnchor>
  <xdr:twoCellAnchor>
    <xdr:from>
      <xdr:col>12</xdr:col>
      <xdr:colOff>404812</xdr:colOff>
      <xdr:row>10</xdr:row>
      <xdr:rowOff>0</xdr:rowOff>
    </xdr:from>
    <xdr:to>
      <xdr:col>14</xdr:col>
      <xdr:colOff>195262</xdr:colOff>
      <xdr:row>16</xdr:row>
      <xdr:rowOff>0</xdr:rowOff>
    </xdr:to>
    <xdr:sp macro="" textlink="'Current Month Pivots'!T6">
      <xdr:nvSpPr>
        <xdr:cNvPr id="93" name="TextBox 92"/>
        <xdr:cNvSpPr txBox="1"/>
      </xdr:nvSpPr>
      <xdr:spPr>
        <a:xfrm>
          <a:off x="6234112" y="1676400"/>
          <a:ext cx="514350"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72B72AF-F1F9-4E64-B145-2F3DDA66FA89}" type="TxLink">
            <a:rPr lang="en-US" sz="3200" b="0" i="0" u="none" strike="noStrike">
              <a:solidFill>
                <a:srgbClr val="81B29A"/>
              </a:solidFill>
              <a:latin typeface="Calibri"/>
              <a:cs typeface="Calibri"/>
            </a:rPr>
            <a:pPr algn="ctr"/>
            <a:t>1</a:t>
          </a:fld>
          <a:endParaRPr lang="en-US" sz="3200">
            <a:solidFill>
              <a:srgbClr val="81B29A"/>
            </a:solidFill>
          </a:endParaRPr>
        </a:p>
      </xdr:txBody>
    </xdr:sp>
    <xdr:clientData/>
  </xdr:twoCellAnchor>
  <xdr:twoCellAnchor>
    <xdr:from>
      <xdr:col>12</xdr:col>
      <xdr:colOff>404812</xdr:colOff>
      <xdr:row>10</xdr:row>
      <xdr:rowOff>0</xdr:rowOff>
    </xdr:from>
    <xdr:to>
      <xdr:col>14</xdr:col>
      <xdr:colOff>195262</xdr:colOff>
      <xdr:row>16</xdr:row>
      <xdr:rowOff>0</xdr:rowOff>
    </xdr:to>
    <xdr:sp macro="" textlink="'Current Month Pivots'!U6">
      <xdr:nvSpPr>
        <xdr:cNvPr id="94" name="TextBox 93"/>
        <xdr:cNvSpPr txBox="1"/>
      </xdr:nvSpPr>
      <xdr:spPr>
        <a:xfrm>
          <a:off x="6234112" y="1676400"/>
          <a:ext cx="514350"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8C47A5-5552-4389-A9CD-FD0F170547B8}" type="TxLink">
            <a:rPr lang="en-US" sz="3200" b="0" i="0" u="none" strike="noStrike">
              <a:solidFill>
                <a:srgbClr val="E07A5F"/>
              </a:solidFill>
              <a:latin typeface="Calibri"/>
              <a:cs typeface="Calibri"/>
            </a:rPr>
            <a:pPr algn="ctr"/>
            <a:t> </a:t>
          </a:fld>
          <a:endParaRPr lang="en-US" sz="3200">
            <a:solidFill>
              <a:srgbClr val="E07A5F"/>
            </a:solidFill>
          </a:endParaRPr>
        </a:p>
      </xdr:txBody>
    </xdr:sp>
    <xdr:clientData/>
  </xdr:twoCellAnchor>
  <xdr:twoCellAnchor>
    <xdr:from>
      <xdr:col>12</xdr:col>
      <xdr:colOff>171450</xdr:colOff>
      <xdr:row>10</xdr:row>
      <xdr:rowOff>0</xdr:rowOff>
    </xdr:from>
    <xdr:to>
      <xdr:col>12</xdr:col>
      <xdr:colOff>590550</xdr:colOff>
      <xdr:row>16</xdr:row>
      <xdr:rowOff>0</xdr:rowOff>
    </xdr:to>
    <xdr:sp macro="" textlink="'Current Month Pivots'!V6">
      <xdr:nvSpPr>
        <xdr:cNvPr id="95" name="TextBox 94"/>
        <xdr:cNvSpPr txBox="1"/>
      </xdr:nvSpPr>
      <xdr:spPr>
        <a:xfrm>
          <a:off x="6000750" y="1676400"/>
          <a:ext cx="419100"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7291751-9D15-4B1A-A186-1FBB7288B430}" type="TxLink">
            <a:rPr lang="en-US" sz="2000" b="0" i="0" u="none" strike="noStrike">
              <a:solidFill>
                <a:srgbClr val="81B29A"/>
              </a:solidFill>
              <a:latin typeface="Wingdings 3" panose="05040102010807070707" pitchFamily="18" charset="2"/>
            </a:rPr>
            <a:pPr algn="ctr"/>
            <a:t>p</a:t>
          </a:fld>
          <a:endParaRPr lang="en-US" sz="2000">
            <a:solidFill>
              <a:srgbClr val="81B29A"/>
            </a:solidFill>
            <a:latin typeface="Wingdings 3" panose="05040102010807070707" pitchFamily="18" charset="2"/>
          </a:endParaRPr>
        </a:p>
      </xdr:txBody>
    </xdr:sp>
    <xdr:clientData/>
  </xdr:twoCellAnchor>
  <xdr:twoCellAnchor>
    <xdr:from>
      <xdr:col>12</xdr:col>
      <xdr:colOff>171450</xdr:colOff>
      <xdr:row>10</xdr:row>
      <xdr:rowOff>0</xdr:rowOff>
    </xdr:from>
    <xdr:to>
      <xdr:col>12</xdr:col>
      <xdr:colOff>590550</xdr:colOff>
      <xdr:row>15</xdr:row>
      <xdr:rowOff>190499</xdr:rowOff>
    </xdr:to>
    <xdr:sp macro="" textlink="'Current Month Pivots'!W6">
      <xdr:nvSpPr>
        <xdr:cNvPr id="96" name="TextBox 95"/>
        <xdr:cNvSpPr txBox="1"/>
      </xdr:nvSpPr>
      <xdr:spPr>
        <a:xfrm>
          <a:off x="6000750" y="1676400"/>
          <a:ext cx="419100" cy="1142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5E40F75-943F-4765-BD39-227141759CC8}" type="TxLink">
            <a:rPr lang="en-US" sz="2000" b="0" i="0" u="none" strike="noStrike">
              <a:solidFill>
                <a:srgbClr val="E07A5F"/>
              </a:solidFill>
              <a:latin typeface="Wingdings 3" panose="05040102010807070707" pitchFamily="18" charset="2"/>
            </a:rPr>
            <a:pPr algn="ctr"/>
            <a:t> </a:t>
          </a:fld>
          <a:endParaRPr lang="en-US" sz="2000">
            <a:solidFill>
              <a:srgbClr val="E07A5F"/>
            </a:solidFill>
            <a:latin typeface="Wingdings 3" panose="05040102010807070707" pitchFamily="18" charset="2"/>
          </a:endParaRPr>
        </a:p>
      </xdr:txBody>
    </xdr:sp>
    <xdr:clientData/>
  </xdr:twoCellAnchor>
  <xdr:twoCellAnchor>
    <xdr:from>
      <xdr:col>21</xdr:col>
      <xdr:colOff>395288</xdr:colOff>
      <xdr:row>10</xdr:row>
      <xdr:rowOff>0</xdr:rowOff>
    </xdr:from>
    <xdr:to>
      <xdr:col>22</xdr:col>
      <xdr:colOff>157163</xdr:colOff>
      <xdr:row>16</xdr:row>
      <xdr:rowOff>0</xdr:rowOff>
    </xdr:to>
    <xdr:sp macro="" textlink="'Current Month Pivots'!T7">
      <xdr:nvSpPr>
        <xdr:cNvPr id="97" name="TextBox 96"/>
        <xdr:cNvSpPr txBox="1"/>
      </xdr:nvSpPr>
      <xdr:spPr>
        <a:xfrm>
          <a:off x="10225088" y="1676400"/>
          <a:ext cx="371475"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E5538F-67BD-4ACF-9450-3734BCE58CA8}" type="TxLink">
            <a:rPr lang="en-US" sz="3200" b="0" i="0" u="none" strike="noStrike">
              <a:solidFill>
                <a:srgbClr val="E07A5F"/>
              </a:solidFill>
              <a:latin typeface="Calibri"/>
              <a:cs typeface="Calibri"/>
            </a:rPr>
            <a:pPr algn="ctr"/>
            <a:t> </a:t>
          </a:fld>
          <a:endParaRPr lang="en-US" sz="3200">
            <a:solidFill>
              <a:srgbClr val="E07A5F"/>
            </a:solidFill>
          </a:endParaRPr>
        </a:p>
      </xdr:txBody>
    </xdr:sp>
    <xdr:clientData/>
  </xdr:twoCellAnchor>
  <xdr:twoCellAnchor>
    <xdr:from>
      <xdr:col>21</xdr:col>
      <xdr:colOff>395288</xdr:colOff>
      <xdr:row>10</xdr:row>
      <xdr:rowOff>0</xdr:rowOff>
    </xdr:from>
    <xdr:to>
      <xdr:col>22</xdr:col>
      <xdr:colOff>157163</xdr:colOff>
      <xdr:row>16</xdr:row>
      <xdr:rowOff>0</xdr:rowOff>
    </xdr:to>
    <xdr:sp macro="" textlink="'Current Month Pivots'!U7">
      <xdr:nvSpPr>
        <xdr:cNvPr id="98" name="TextBox 97"/>
        <xdr:cNvSpPr txBox="1"/>
      </xdr:nvSpPr>
      <xdr:spPr>
        <a:xfrm>
          <a:off x="10225088" y="1676400"/>
          <a:ext cx="371475"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37D0712-6D19-4131-83D9-CD4C5780616F}" type="TxLink">
            <a:rPr lang="en-US" sz="3200" b="0" i="0" u="none" strike="noStrike">
              <a:solidFill>
                <a:srgbClr val="81B29A"/>
              </a:solidFill>
              <a:latin typeface="Calibri"/>
              <a:cs typeface="Calibri"/>
            </a:rPr>
            <a:pPr algn="ctr"/>
            <a:t>2</a:t>
          </a:fld>
          <a:endParaRPr lang="en-US" sz="3200">
            <a:solidFill>
              <a:srgbClr val="81B29A"/>
            </a:solidFill>
          </a:endParaRPr>
        </a:p>
      </xdr:txBody>
    </xdr:sp>
    <xdr:clientData/>
  </xdr:twoCellAnchor>
  <xdr:twoCellAnchor>
    <xdr:from>
      <xdr:col>21</xdr:col>
      <xdr:colOff>109538</xdr:colOff>
      <xdr:row>10</xdr:row>
      <xdr:rowOff>0</xdr:rowOff>
    </xdr:from>
    <xdr:to>
      <xdr:col>21</xdr:col>
      <xdr:colOff>481013</xdr:colOff>
      <xdr:row>16</xdr:row>
      <xdr:rowOff>0</xdr:rowOff>
    </xdr:to>
    <xdr:sp macro="" textlink="'Current Month Pivots'!V7">
      <xdr:nvSpPr>
        <xdr:cNvPr id="99" name="TextBox 98"/>
        <xdr:cNvSpPr txBox="1"/>
      </xdr:nvSpPr>
      <xdr:spPr>
        <a:xfrm>
          <a:off x="9939338" y="1676400"/>
          <a:ext cx="371475"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DCD3C8E-5557-4882-BE15-7EFC5004C5B4}" type="TxLink">
            <a:rPr lang="en-US" sz="2000" b="0" i="0" u="none" strike="noStrike">
              <a:solidFill>
                <a:srgbClr val="E07A5F"/>
              </a:solidFill>
              <a:latin typeface="Wingdings 3"/>
            </a:rPr>
            <a:pPr algn="ctr"/>
            <a:t> </a:t>
          </a:fld>
          <a:endParaRPr lang="en-US" sz="2000">
            <a:solidFill>
              <a:srgbClr val="E07A5F"/>
            </a:solidFill>
          </a:endParaRPr>
        </a:p>
      </xdr:txBody>
    </xdr:sp>
    <xdr:clientData/>
  </xdr:twoCellAnchor>
  <xdr:twoCellAnchor>
    <xdr:from>
      <xdr:col>21</xdr:col>
      <xdr:colOff>109538</xdr:colOff>
      <xdr:row>10</xdr:row>
      <xdr:rowOff>0</xdr:rowOff>
    </xdr:from>
    <xdr:to>
      <xdr:col>21</xdr:col>
      <xdr:colOff>481013</xdr:colOff>
      <xdr:row>16</xdr:row>
      <xdr:rowOff>0</xdr:rowOff>
    </xdr:to>
    <xdr:sp macro="" textlink="'Current Month Pivots'!W7">
      <xdr:nvSpPr>
        <xdr:cNvPr id="100" name="TextBox 99"/>
        <xdr:cNvSpPr txBox="1"/>
      </xdr:nvSpPr>
      <xdr:spPr>
        <a:xfrm>
          <a:off x="9939338" y="1676400"/>
          <a:ext cx="371475"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FA28FB-F517-43FB-A4D4-54665CE1D8E4}" type="TxLink">
            <a:rPr lang="en-US" sz="2000" b="0" i="0" u="none" strike="noStrike">
              <a:solidFill>
                <a:srgbClr val="81B29A"/>
              </a:solidFill>
              <a:latin typeface="Wingdings 3"/>
            </a:rPr>
            <a:pPr algn="ctr"/>
            <a:t>q</a:t>
          </a:fld>
          <a:endParaRPr lang="en-US" sz="2000">
            <a:solidFill>
              <a:srgbClr val="81B29A"/>
            </a:solidFill>
          </a:endParaRPr>
        </a:p>
      </xdr:txBody>
    </xdr:sp>
    <xdr:clientData/>
  </xdr:twoCellAnchor>
  <xdr:twoCellAnchor>
    <xdr:from>
      <xdr:col>1</xdr:col>
      <xdr:colOff>85724</xdr:colOff>
      <xdr:row>27</xdr:row>
      <xdr:rowOff>66675</xdr:rowOff>
    </xdr:from>
    <xdr:to>
      <xdr:col>7</xdr:col>
      <xdr:colOff>495299</xdr:colOff>
      <xdr:row>34</xdr:row>
      <xdr:rowOff>1</xdr:rowOff>
    </xdr:to>
    <xdr:graphicFrame macro="">
      <xdr:nvGraphicFramePr>
        <xdr:cNvPr id="101" name="Chart 10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18</xdr:row>
      <xdr:rowOff>76200</xdr:rowOff>
    </xdr:from>
    <xdr:to>
      <xdr:col>7</xdr:col>
      <xdr:colOff>466725</xdr:colOff>
      <xdr:row>24</xdr:row>
      <xdr:rowOff>190499</xdr:rowOff>
    </xdr:to>
    <xdr:graphicFrame macro="">
      <xdr:nvGraphicFramePr>
        <xdr:cNvPr id="102" name="Chart 10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xdr:colOff>
      <xdr:row>18</xdr:row>
      <xdr:rowOff>114300</xdr:rowOff>
    </xdr:from>
    <xdr:to>
      <xdr:col>13</xdr:col>
      <xdr:colOff>1</xdr:colOff>
      <xdr:row>34</xdr:row>
      <xdr:rowOff>0</xdr:rowOff>
    </xdr:to>
    <xdr:graphicFrame macro="">
      <xdr:nvGraphicFramePr>
        <xdr:cNvPr id="103" name="Chart 10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419100</xdr:colOff>
      <xdr:row>18</xdr:row>
      <xdr:rowOff>180975</xdr:rowOff>
    </xdr:from>
    <xdr:to>
      <xdr:col>18</xdr:col>
      <xdr:colOff>121920</xdr:colOff>
      <xdr:row>23</xdr:row>
      <xdr:rowOff>142875</xdr:rowOff>
    </xdr:to>
    <xdr:sp macro="" textlink="'Current Month Pivots'!U10">
      <xdr:nvSpPr>
        <xdr:cNvPr id="104" name="TextBox 103"/>
        <xdr:cNvSpPr txBox="1"/>
      </xdr:nvSpPr>
      <xdr:spPr>
        <a:xfrm>
          <a:off x="6972300" y="3305175"/>
          <a:ext cx="1645920"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D27B627-7873-4CBE-9483-ADECDDEC97C6}" type="TxLink">
            <a:rPr lang="en-US" sz="4400" b="0" i="0" u="none" strike="noStrike">
              <a:solidFill>
                <a:schemeClr val="bg1"/>
              </a:solidFill>
              <a:latin typeface="Calibri"/>
              <a:cs typeface="Calibri"/>
            </a:rPr>
            <a:pPr algn="ctr"/>
            <a:t>85.0</a:t>
          </a:fld>
          <a:endParaRPr lang="en-US" sz="4400">
            <a:solidFill>
              <a:schemeClr val="bg1"/>
            </a:solidFill>
          </a:endParaRPr>
        </a:p>
      </xdr:txBody>
    </xdr:sp>
    <xdr:clientData/>
  </xdr:twoCellAnchor>
  <xdr:twoCellAnchor>
    <xdr:from>
      <xdr:col>20</xdr:col>
      <xdr:colOff>361950</xdr:colOff>
      <xdr:row>18</xdr:row>
      <xdr:rowOff>180975</xdr:rowOff>
    </xdr:from>
    <xdr:to>
      <xdr:col>23</xdr:col>
      <xdr:colOff>179070</xdr:colOff>
      <xdr:row>22</xdr:row>
      <xdr:rowOff>150495</xdr:rowOff>
    </xdr:to>
    <xdr:sp macro="" textlink="'Current Month Pivots'!U11">
      <xdr:nvSpPr>
        <xdr:cNvPr id="105" name="TextBox 104"/>
        <xdr:cNvSpPr txBox="1"/>
      </xdr:nvSpPr>
      <xdr:spPr>
        <a:xfrm>
          <a:off x="9582150" y="3305175"/>
          <a:ext cx="1645920" cy="731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54A2C3A-E2E0-4FFD-AB25-453D22031424}" type="TxLink">
            <a:rPr lang="en-US" sz="4000" b="0" i="0" u="none" strike="noStrike">
              <a:solidFill>
                <a:schemeClr val="bg1"/>
              </a:solidFill>
              <a:latin typeface="Calibri"/>
              <a:cs typeface="Calibri"/>
            </a:rPr>
            <a:pPr algn="ctr"/>
            <a:t>3</a:t>
          </a:fld>
          <a:endParaRPr lang="en-US" sz="4000">
            <a:solidFill>
              <a:schemeClr val="bg1"/>
            </a:solidFill>
          </a:endParaRPr>
        </a:p>
      </xdr:txBody>
    </xdr:sp>
    <xdr:clientData/>
  </xdr:twoCellAnchor>
  <xdr:twoCellAnchor>
    <xdr:from>
      <xdr:col>14</xdr:col>
      <xdr:colOff>419100</xdr:colOff>
      <xdr:row>27</xdr:row>
      <xdr:rowOff>180975</xdr:rowOff>
    </xdr:from>
    <xdr:to>
      <xdr:col>18</xdr:col>
      <xdr:colOff>121920</xdr:colOff>
      <xdr:row>31</xdr:row>
      <xdr:rowOff>150495</xdr:rowOff>
    </xdr:to>
    <xdr:sp macro="" textlink="'Current Month Pivots'!U12">
      <xdr:nvSpPr>
        <xdr:cNvPr id="106" name="TextBox 105"/>
        <xdr:cNvSpPr txBox="1"/>
      </xdr:nvSpPr>
      <xdr:spPr>
        <a:xfrm>
          <a:off x="6972300" y="4943475"/>
          <a:ext cx="1645920" cy="731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3A599D-D1A6-421C-B694-37949C689729}" type="TxLink">
            <a:rPr lang="en-US" sz="4000" b="0" i="0" u="none" strike="noStrike">
              <a:solidFill>
                <a:schemeClr val="bg1"/>
              </a:solidFill>
              <a:latin typeface="Calibri"/>
              <a:cs typeface="Calibri"/>
            </a:rPr>
            <a:pPr algn="ctr"/>
            <a:t>3</a:t>
          </a:fld>
          <a:endParaRPr lang="en-US" sz="4000">
            <a:solidFill>
              <a:schemeClr val="bg1"/>
            </a:solidFill>
          </a:endParaRPr>
        </a:p>
      </xdr:txBody>
    </xdr:sp>
    <xdr:clientData/>
  </xdr:twoCellAnchor>
  <xdr:twoCellAnchor>
    <xdr:from>
      <xdr:col>20</xdr:col>
      <xdr:colOff>361950</xdr:colOff>
      <xdr:row>27</xdr:row>
      <xdr:rowOff>180975</xdr:rowOff>
    </xdr:from>
    <xdr:to>
      <xdr:col>23</xdr:col>
      <xdr:colOff>179070</xdr:colOff>
      <xdr:row>31</xdr:row>
      <xdr:rowOff>150495</xdr:rowOff>
    </xdr:to>
    <xdr:sp macro="" textlink="'Current Month Pivots'!U13">
      <xdr:nvSpPr>
        <xdr:cNvPr id="107" name="TextBox 106"/>
        <xdr:cNvSpPr txBox="1"/>
      </xdr:nvSpPr>
      <xdr:spPr>
        <a:xfrm>
          <a:off x="9582150" y="4943475"/>
          <a:ext cx="1645920" cy="7315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9C5B7A-9D0E-43B7-8685-FAB0F49C7D69}" type="TxLink">
            <a:rPr lang="en-US" sz="4000" b="0" i="0" u="none" strike="noStrike">
              <a:solidFill>
                <a:schemeClr val="bg1"/>
              </a:solidFill>
              <a:latin typeface="Calibri"/>
              <a:cs typeface="Calibri"/>
            </a:rPr>
            <a:pPr algn="ctr"/>
            <a:t>1</a:t>
          </a:fld>
          <a:endParaRPr lang="en-US" sz="4000">
            <a:solidFill>
              <a:schemeClr val="bg1"/>
            </a:solidFill>
          </a:endParaRPr>
        </a:p>
      </xdr:txBody>
    </xdr:sp>
    <xdr:clientData/>
  </xdr:twoCellAnchor>
  <xdr:twoCellAnchor>
    <xdr:from>
      <xdr:col>18</xdr:col>
      <xdr:colOff>552450</xdr:colOff>
      <xdr:row>23</xdr:row>
      <xdr:rowOff>9526</xdr:rowOff>
    </xdr:from>
    <xdr:to>
      <xdr:col>25</xdr:col>
      <xdr:colOff>0</xdr:colOff>
      <xdr:row>25</xdr:row>
      <xdr:rowOff>3430</xdr:rowOff>
    </xdr:to>
    <xdr:graphicFrame macro="">
      <xdr:nvGraphicFramePr>
        <xdr:cNvPr id="110"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0</xdr:colOff>
      <xdr:row>32</xdr:row>
      <xdr:rowOff>0</xdr:rowOff>
    </xdr:from>
    <xdr:to>
      <xdr:col>19</xdr:col>
      <xdr:colOff>57912</xdr:colOff>
      <xdr:row>33</xdr:row>
      <xdr:rowOff>184404</xdr:rowOff>
    </xdr:to>
    <xdr:graphicFrame macro="">
      <xdr:nvGraphicFramePr>
        <xdr:cNvPr id="111"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551688</xdr:colOff>
      <xdr:row>32</xdr:row>
      <xdr:rowOff>0</xdr:rowOff>
    </xdr:from>
    <xdr:to>
      <xdr:col>25</xdr:col>
      <xdr:colOff>0</xdr:colOff>
      <xdr:row>33</xdr:row>
      <xdr:rowOff>184404</xdr:rowOff>
    </xdr:to>
    <xdr:graphicFrame macro="">
      <xdr:nvGraphicFramePr>
        <xdr:cNvPr id="112" name="Chart 1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0</xdr:colOff>
      <xdr:row>5</xdr:row>
      <xdr:rowOff>0</xdr:rowOff>
    </xdr:from>
    <xdr:to>
      <xdr:col>24</xdr:col>
      <xdr:colOff>0</xdr:colOff>
      <xdr:row>9</xdr:row>
      <xdr:rowOff>0</xdr:rowOff>
    </xdr:to>
    <xdr:sp macro="[0]!return_to_table" textlink="">
      <xdr:nvSpPr>
        <xdr:cNvPr id="113" name="Rounded Rectangle 112"/>
        <xdr:cNvSpPr/>
      </xdr:nvSpPr>
      <xdr:spPr>
        <a:xfrm>
          <a:off x="7886700" y="800100"/>
          <a:ext cx="3771900" cy="762000"/>
        </a:xfrm>
        <a:prstGeom prst="roundRect">
          <a:avLst>
            <a:gd name="adj" fmla="val 13333"/>
          </a:avLst>
        </a:prstGeom>
        <a:solidFill>
          <a:srgbClr val="4C4F70"/>
        </a:solidFill>
        <a:ln w="19050">
          <a:solidFill>
            <a:srgbClr val="E07A5F"/>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solidFill>
                <a:schemeClr val="bg1"/>
              </a:solidFill>
            </a:rPr>
            <a:t>Return</a:t>
          </a:r>
          <a:r>
            <a:rPr lang="en-US" sz="2000" baseline="0">
              <a:solidFill>
                <a:schemeClr val="bg1"/>
              </a:solidFill>
            </a:rPr>
            <a:t> to Overall Data</a:t>
          </a:r>
          <a:endParaRPr lang="en-US" sz="20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3</xdr:row>
      <xdr:rowOff>0</xdr:rowOff>
    </xdr:from>
    <xdr:to>
      <xdr:col>8</xdr:col>
      <xdr:colOff>0</xdr:colOff>
      <xdr:row>5</xdr:row>
      <xdr:rowOff>205740</xdr:rowOff>
    </xdr:to>
    <xdr:sp macro="[0]!return_to_table" textlink="">
      <xdr:nvSpPr>
        <xdr:cNvPr id="2" name="Rounded Rectangle 1"/>
        <xdr:cNvSpPr/>
      </xdr:nvSpPr>
      <xdr:spPr>
        <a:xfrm>
          <a:off x="5591175" y="533400"/>
          <a:ext cx="1714500" cy="777240"/>
        </a:xfrm>
        <a:prstGeom prst="roundRect">
          <a:avLst/>
        </a:prstGeom>
        <a:solidFill>
          <a:srgbClr val="A5A5A5"/>
        </a:solidFill>
        <a:ln w="19050">
          <a:solidFill>
            <a:srgbClr val="EDEDE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a:t>Return to Table</a:t>
          </a:r>
        </a:p>
        <a:p>
          <a:pPr algn="ctr"/>
          <a:r>
            <a:rPr lang="en-US" sz="1300"/>
            <a:t>without Adding Entry</a:t>
          </a:r>
        </a:p>
      </xdr:txBody>
    </xdr:sp>
    <xdr:clientData/>
  </xdr:twoCellAnchor>
  <xdr:twoCellAnchor>
    <xdr:from>
      <xdr:col>7</xdr:col>
      <xdr:colOff>0</xdr:colOff>
      <xdr:row>5</xdr:row>
      <xdr:rowOff>337185</xdr:rowOff>
    </xdr:from>
    <xdr:to>
      <xdr:col>8</xdr:col>
      <xdr:colOff>0</xdr:colOff>
      <xdr:row>5</xdr:row>
      <xdr:rowOff>1114425</xdr:rowOff>
    </xdr:to>
    <xdr:sp macro="[0]!add_finding" textlink="">
      <xdr:nvSpPr>
        <xdr:cNvPr id="3" name="Rounded Rectangle 2"/>
        <xdr:cNvSpPr/>
      </xdr:nvSpPr>
      <xdr:spPr>
        <a:xfrm>
          <a:off x="5591175" y="1442085"/>
          <a:ext cx="1714500" cy="777240"/>
        </a:xfrm>
        <a:prstGeom prst="roundRect">
          <a:avLst/>
        </a:prstGeom>
        <a:solidFill>
          <a:srgbClr val="A5A5A5"/>
        </a:solidFill>
        <a:ln w="19050">
          <a:solidFill>
            <a:srgbClr val="EDEDED"/>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300"/>
            <a:t>Add Entry to Table</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400050</xdr:colOff>
      <xdr:row>20</xdr:row>
      <xdr:rowOff>9524</xdr:rowOff>
    </xdr:from>
    <xdr:to>
      <xdr:col>10</xdr:col>
      <xdr:colOff>533400</xdr:colOff>
      <xdr:row>40</xdr:row>
      <xdr:rowOff>19049</xdr:rowOff>
    </xdr:to>
    <mc:AlternateContent xmlns:mc="http://schemas.openxmlformats.org/markup-compatibility/2006" xmlns:a14="http://schemas.microsoft.com/office/drawing/2010/main">
      <mc:Choice Requires="a14">
        <xdr:graphicFrame macro="">
          <xdr:nvGraphicFramePr>
            <xdr:cNvPr id="2" name="Finding Date 2"/>
            <xdr:cNvGraphicFramePr/>
          </xdr:nvGraphicFramePr>
          <xdr:xfrm>
            <a:off x="0" y="0"/>
            <a:ext cx="0" cy="0"/>
          </xdr:xfrm>
          <a:graphic>
            <a:graphicData uri="http://schemas.microsoft.com/office/drawing/2010/slicer">
              <sle:slicer xmlns:sle="http://schemas.microsoft.com/office/drawing/2010/slicer" name="Finding Date 2"/>
            </a:graphicData>
          </a:graphic>
        </xdr:graphicFrame>
      </mc:Choice>
      <mc:Fallback xmlns="">
        <xdr:sp macro="" textlink="">
          <xdr:nvSpPr>
            <xdr:cNvPr id="0" name=""/>
            <xdr:cNvSpPr>
              <a:spLocks noTextEdit="1"/>
            </xdr:cNvSpPr>
          </xdr:nvSpPr>
          <xdr:spPr>
            <a:xfrm>
              <a:off x="7334250" y="3819524"/>
              <a:ext cx="1828800" cy="3819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752475</xdr:colOff>
      <xdr:row>20</xdr:row>
      <xdr:rowOff>38100</xdr:rowOff>
    </xdr:from>
    <xdr:to>
      <xdr:col>12</xdr:col>
      <xdr:colOff>333375</xdr:colOff>
      <xdr:row>33</xdr:row>
      <xdr:rowOff>85725</xdr:rowOff>
    </xdr:to>
    <mc:AlternateContent xmlns:mc="http://schemas.openxmlformats.org/markup-compatibility/2006" xmlns:a14="http://schemas.microsoft.com/office/drawing/2010/main">
      <mc:Choice Requires="a14">
        <xdr:graphicFrame macro="">
          <xdr:nvGraphicFramePr>
            <xdr:cNvPr id="3" name="Years 2"/>
            <xdr:cNvGraphicFramePr/>
          </xdr:nvGraphicFramePr>
          <xdr:xfrm>
            <a:off x="0" y="0"/>
            <a:ext cx="0" cy="0"/>
          </xdr:xfrm>
          <a:graphic>
            <a:graphicData uri="http://schemas.microsoft.com/office/drawing/2010/slicer">
              <sle:slicer xmlns:sle="http://schemas.microsoft.com/office/drawing/2010/slicer" name="Years 2"/>
            </a:graphicData>
          </a:graphic>
        </xdr:graphicFrame>
      </mc:Choice>
      <mc:Fallback xmlns="">
        <xdr:sp macro="" textlink="">
          <xdr:nvSpPr>
            <xdr:cNvPr id="0" name=""/>
            <xdr:cNvSpPr>
              <a:spLocks noTextEdit="1"/>
            </xdr:cNvSpPr>
          </xdr:nvSpPr>
          <xdr:spPr>
            <a:xfrm>
              <a:off x="9382125" y="38481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28575</xdr:colOff>
      <xdr:row>20</xdr:row>
      <xdr:rowOff>114300</xdr:rowOff>
    </xdr:from>
    <xdr:to>
      <xdr:col>14</xdr:col>
      <xdr:colOff>981075</xdr:colOff>
      <xdr:row>33</xdr:row>
      <xdr:rowOff>161925</xdr:rowOff>
    </xdr:to>
    <mc:AlternateContent xmlns:mc="http://schemas.openxmlformats.org/markup-compatibility/2006" xmlns:a14="http://schemas.microsoft.com/office/drawing/2010/main">
      <mc:Choice Requires="a14">
        <xdr:graphicFrame macro="">
          <xdr:nvGraphicFramePr>
            <xdr:cNvPr id="4" name="Criticality 2"/>
            <xdr:cNvGraphicFramePr/>
          </xdr:nvGraphicFramePr>
          <xdr:xfrm>
            <a:off x="0" y="0"/>
            <a:ext cx="0" cy="0"/>
          </xdr:xfrm>
          <a:graphic>
            <a:graphicData uri="http://schemas.microsoft.com/office/drawing/2010/slicer">
              <sle:slicer xmlns:sle="http://schemas.microsoft.com/office/drawing/2010/slicer" name="Criticality 2"/>
            </a:graphicData>
          </a:graphic>
        </xdr:graphicFrame>
      </mc:Choice>
      <mc:Fallback xmlns="">
        <xdr:sp macro="" textlink="">
          <xdr:nvSpPr>
            <xdr:cNvPr id="0" name=""/>
            <xdr:cNvSpPr>
              <a:spLocks noTextEdit="1"/>
            </xdr:cNvSpPr>
          </xdr:nvSpPr>
          <xdr:spPr>
            <a:xfrm>
              <a:off x="11515725" y="39243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1343025</xdr:colOff>
      <xdr:row>20</xdr:row>
      <xdr:rowOff>85725</xdr:rowOff>
    </xdr:from>
    <xdr:to>
      <xdr:col>17</xdr:col>
      <xdr:colOff>590550</xdr:colOff>
      <xdr:row>33</xdr:row>
      <xdr:rowOff>133350</xdr:rowOff>
    </xdr:to>
    <mc:AlternateContent xmlns:mc="http://schemas.openxmlformats.org/markup-compatibility/2006" xmlns:a14="http://schemas.microsoft.com/office/drawing/2010/main">
      <mc:Choice Requires="a14">
        <xdr:graphicFrame macro="">
          <xdr:nvGraphicFramePr>
            <xdr:cNvPr id="6" name="Plan Status"/>
            <xdr:cNvGraphicFramePr/>
          </xdr:nvGraphicFramePr>
          <xdr:xfrm>
            <a:off x="0" y="0"/>
            <a:ext cx="0" cy="0"/>
          </xdr:xfrm>
          <a:graphic>
            <a:graphicData uri="http://schemas.microsoft.com/office/drawing/2010/slicer">
              <sle:slicer xmlns:sle="http://schemas.microsoft.com/office/drawing/2010/slicer" name="Plan Status"/>
            </a:graphicData>
          </a:graphic>
        </xdr:graphicFrame>
      </mc:Choice>
      <mc:Fallback xmlns="">
        <xdr:sp macro="" textlink="">
          <xdr:nvSpPr>
            <xdr:cNvPr id="0" name=""/>
            <xdr:cNvSpPr>
              <a:spLocks noTextEdit="1"/>
            </xdr:cNvSpPr>
          </xdr:nvSpPr>
          <xdr:spPr>
            <a:xfrm>
              <a:off x="13706475" y="38957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xdr:row>
      <xdr:rowOff>0</xdr:rowOff>
    </xdr:from>
    <xdr:to>
      <xdr:col>28</xdr:col>
      <xdr:colOff>0</xdr:colOff>
      <xdr:row>4</xdr:row>
      <xdr:rowOff>0</xdr:rowOff>
    </xdr:to>
    <xdr:sp macro="" textlink="">
      <xdr:nvSpPr>
        <xdr:cNvPr id="2" name="Rounded Rectangle 1"/>
        <xdr:cNvSpPr/>
      </xdr:nvSpPr>
      <xdr:spPr>
        <a:xfrm>
          <a:off x="114300" y="114300"/>
          <a:ext cx="14249400" cy="571500"/>
        </a:xfrm>
        <a:prstGeom prst="roundRect">
          <a:avLst>
            <a:gd name="adj" fmla="val 17778"/>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123824</xdr:colOff>
      <xdr:row>1</xdr:row>
      <xdr:rowOff>1</xdr:rowOff>
    </xdr:from>
    <xdr:to>
      <xdr:col>15</xdr:col>
      <xdr:colOff>371475</xdr:colOff>
      <xdr:row>4</xdr:row>
      <xdr:rowOff>0</xdr:rowOff>
    </xdr:to>
    <xdr:sp macro="" textlink="">
      <xdr:nvSpPr>
        <xdr:cNvPr id="3" name="TextBox 2"/>
        <xdr:cNvSpPr txBox="1"/>
      </xdr:nvSpPr>
      <xdr:spPr>
        <a:xfrm>
          <a:off x="238124" y="114301"/>
          <a:ext cx="8782051" cy="571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800">
              <a:solidFill>
                <a:schemeClr val="bg1"/>
              </a:solidFill>
              <a:latin typeface="Arial" panose="020B0604020202020204" pitchFamily="34" charset="0"/>
              <a:cs typeface="Arial" panose="020B0604020202020204" pitchFamily="34" charset="0"/>
            </a:rPr>
            <a:t>Overall</a:t>
          </a:r>
          <a:r>
            <a:rPr lang="en-US" sz="2800" baseline="0">
              <a:solidFill>
                <a:schemeClr val="bg1"/>
              </a:solidFill>
              <a:latin typeface="Arial" panose="020B0604020202020204" pitchFamily="34" charset="0"/>
              <a:cs typeface="Arial" panose="020B0604020202020204" pitchFamily="34" charset="0"/>
            </a:rPr>
            <a:t> C</a:t>
          </a:r>
          <a:r>
            <a:rPr lang="en-US" sz="2800">
              <a:solidFill>
                <a:schemeClr val="bg1"/>
              </a:solidFill>
              <a:latin typeface="Arial" panose="020B0604020202020204" pitchFamily="34" charset="0"/>
              <a:cs typeface="Arial" panose="020B0604020202020204" pitchFamily="34" charset="0"/>
            </a:rPr>
            <a:t>ustomer</a:t>
          </a:r>
          <a:r>
            <a:rPr lang="en-US" sz="2800" baseline="0">
              <a:solidFill>
                <a:schemeClr val="bg1"/>
              </a:solidFill>
              <a:latin typeface="Arial" panose="020B0604020202020204" pitchFamily="34" charset="0"/>
              <a:cs typeface="Arial" panose="020B0604020202020204" pitchFamily="34" charset="0"/>
            </a:rPr>
            <a:t> Feedback Findings Dashboard</a:t>
          </a:r>
          <a:endParaRPr lang="en-US" sz="2800">
            <a:solidFill>
              <a:schemeClr val="bg1"/>
            </a:solidFill>
            <a:latin typeface="Arial" panose="020B0604020202020204" pitchFamily="34" charset="0"/>
            <a:cs typeface="Arial" panose="020B0604020202020204" pitchFamily="34" charset="0"/>
          </a:endParaRPr>
        </a:p>
      </xdr:txBody>
    </xdr:sp>
    <xdr:clientData/>
  </xdr:twoCellAnchor>
  <xdr:twoCellAnchor editAs="oneCell">
    <xdr:from>
      <xdr:col>1</xdr:col>
      <xdr:colOff>0</xdr:colOff>
      <xdr:row>10</xdr:row>
      <xdr:rowOff>114299</xdr:rowOff>
    </xdr:from>
    <xdr:to>
      <xdr:col>4</xdr:col>
      <xdr:colOff>0</xdr:colOff>
      <xdr:row>25</xdr:row>
      <xdr:rowOff>114300</xdr:rowOff>
    </xdr:to>
    <mc:AlternateContent xmlns:mc="http://schemas.openxmlformats.org/markup-compatibility/2006" xmlns:a14="http://schemas.microsoft.com/office/drawing/2010/main">
      <mc:Choice Requires="a14">
        <xdr:graphicFrame macro="">
          <xdr:nvGraphicFramePr>
            <xdr:cNvPr id="4" name="Finding Date 3"/>
            <xdr:cNvGraphicFramePr/>
          </xdr:nvGraphicFramePr>
          <xdr:xfrm>
            <a:off x="0" y="0"/>
            <a:ext cx="0" cy="0"/>
          </xdr:xfrm>
          <a:graphic>
            <a:graphicData uri="http://schemas.microsoft.com/office/drawing/2010/slicer">
              <sle:slicer xmlns:sle="http://schemas.microsoft.com/office/drawing/2010/slicer" name="Finding Date 3"/>
            </a:graphicData>
          </a:graphic>
        </xdr:graphicFrame>
      </mc:Choice>
      <mc:Fallback xmlns="">
        <xdr:sp macro="" textlink="">
          <xdr:nvSpPr>
            <xdr:cNvPr id="0" name=""/>
            <xdr:cNvSpPr>
              <a:spLocks noTextEdit="1"/>
            </xdr:cNvSpPr>
          </xdr:nvSpPr>
          <xdr:spPr>
            <a:xfrm>
              <a:off x="114300" y="1866899"/>
              <a:ext cx="1600200" cy="27051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0</xdr:colOff>
      <xdr:row>5</xdr:row>
      <xdr:rowOff>0</xdr:rowOff>
    </xdr:from>
    <xdr:to>
      <xdr:col>4</xdr:col>
      <xdr:colOff>0</xdr:colOff>
      <xdr:row>10</xdr:row>
      <xdr:rowOff>0</xdr:rowOff>
    </xdr:to>
    <mc:AlternateContent xmlns:mc="http://schemas.openxmlformats.org/markup-compatibility/2006" xmlns:a14="http://schemas.microsoft.com/office/drawing/2010/main">
      <mc:Choice Requires="a14">
        <xdr:graphicFrame macro="">
          <xdr:nvGraphicFramePr>
            <xdr:cNvPr id="5" name="Years 3"/>
            <xdr:cNvGraphicFramePr/>
          </xdr:nvGraphicFramePr>
          <xdr:xfrm>
            <a:off x="0" y="0"/>
            <a:ext cx="0" cy="0"/>
          </xdr:xfrm>
          <a:graphic>
            <a:graphicData uri="http://schemas.microsoft.com/office/drawing/2010/slicer">
              <sle:slicer xmlns:sle="http://schemas.microsoft.com/office/drawing/2010/slicer" name="Years 3"/>
            </a:graphicData>
          </a:graphic>
        </xdr:graphicFrame>
      </mc:Choice>
      <mc:Fallback xmlns="">
        <xdr:sp macro="" textlink="">
          <xdr:nvSpPr>
            <xdr:cNvPr id="0" name=""/>
            <xdr:cNvSpPr>
              <a:spLocks noTextEdit="1"/>
            </xdr:cNvSpPr>
          </xdr:nvSpPr>
          <xdr:spPr>
            <a:xfrm>
              <a:off x="114300" y="800100"/>
              <a:ext cx="16002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0</xdr:colOff>
      <xdr:row>26</xdr:row>
      <xdr:rowOff>47625</xdr:rowOff>
    </xdr:from>
    <xdr:to>
      <xdr:col>4</xdr:col>
      <xdr:colOff>0</xdr:colOff>
      <xdr:row>31</xdr:row>
      <xdr:rowOff>90487</xdr:rowOff>
    </xdr:to>
    <mc:AlternateContent xmlns:mc="http://schemas.openxmlformats.org/markup-compatibility/2006" xmlns:a14="http://schemas.microsoft.com/office/drawing/2010/main">
      <mc:Choice Requires="a14">
        <xdr:graphicFrame macro="">
          <xdr:nvGraphicFramePr>
            <xdr:cNvPr id="6" name="Criticality 3"/>
            <xdr:cNvGraphicFramePr/>
          </xdr:nvGraphicFramePr>
          <xdr:xfrm>
            <a:off x="0" y="0"/>
            <a:ext cx="0" cy="0"/>
          </xdr:xfrm>
          <a:graphic>
            <a:graphicData uri="http://schemas.microsoft.com/office/drawing/2010/slicer">
              <sle:slicer xmlns:sle="http://schemas.microsoft.com/office/drawing/2010/slicer" name="Criticality 3"/>
            </a:graphicData>
          </a:graphic>
        </xdr:graphicFrame>
      </mc:Choice>
      <mc:Fallback xmlns="">
        <xdr:sp macro="" textlink="">
          <xdr:nvSpPr>
            <xdr:cNvPr id="0" name=""/>
            <xdr:cNvSpPr>
              <a:spLocks noTextEdit="1"/>
            </xdr:cNvSpPr>
          </xdr:nvSpPr>
          <xdr:spPr>
            <a:xfrm>
              <a:off x="114300" y="4695825"/>
              <a:ext cx="1600200" cy="91916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0</xdr:colOff>
      <xdr:row>32</xdr:row>
      <xdr:rowOff>28575</xdr:rowOff>
    </xdr:from>
    <xdr:to>
      <xdr:col>4</xdr:col>
      <xdr:colOff>0</xdr:colOff>
      <xdr:row>37</xdr:row>
      <xdr:rowOff>0</xdr:rowOff>
    </xdr:to>
    <mc:AlternateContent xmlns:mc="http://schemas.openxmlformats.org/markup-compatibility/2006" xmlns:a14="http://schemas.microsoft.com/office/drawing/2010/main">
      <mc:Choice Requires="a14">
        <xdr:graphicFrame macro="">
          <xdr:nvGraphicFramePr>
            <xdr:cNvPr id="8" name="Plan Status 1"/>
            <xdr:cNvGraphicFramePr/>
          </xdr:nvGraphicFramePr>
          <xdr:xfrm>
            <a:off x="0" y="0"/>
            <a:ext cx="0" cy="0"/>
          </xdr:xfrm>
          <a:graphic>
            <a:graphicData uri="http://schemas.microsoft.com/office/drawing/2010/slicer">
              <sle:slicer xmlns:sle="http://schemas.microsoft.com/office/drawing/2010/slicer" name="Plan Status 1"/>
            </a:graphicData>
          </a:graphic>
        </xdr:graphicFrame>
      </mc:Choice>
      <mc:Fallback xmlns="">
        <xdr:sp macro="" textlink="">
          <xdr:nvSpPr>
            <xdr:cNvPr id="0" name=""/>
            <xdr:cNvSpPr>
              <a:spLocks noTextEdit="1"/>
            </xdr:cNvSpPr>
          </xdr:nvSpPr>
          <xdr:spPr>
            <a:xfrm>
              <a:off x="114300" y="5743575"/>
              <a:ext cx="1600200" cy="9239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5</xdr:col>
      <xdr:colOff>0</xdr:colOff>
      <xdr:row>5</xdr:row>
      <xdr:rowOff>0</xdr:rowOff>
    </xdr:from>
    <xdr:to>
      <xdr:col>10</xdr:col>
      <xdr:colOff>0</xdr:colOff>
      <xdr:row>10</xdr:row>
      <xdr:rowOff>0</xdr:rowOff>
    </xdr:to>
    <xdr:sp macro="" textlink="">
      <xdr:nvSpPr>
        <xdr:cNvPr id="9" name="Rounded Rectangle 8"/>
        <xdr:cNvSpPr/>
      </xdr:nvSpPr>
      <xdr:spPr>
        <a:xfrm>
          <a:off x="1828800" y="800100"/>
          <a:ext cx="3048000" cy="952500"/>
        </a:xfrm>
        <a:prstGeom prst="roundRect">
          <a:avLst>
            <a:gd name="adj" fmla="val 10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5</xdr:row>
      <xdr:rowOff>0</xdr:rowOff>
    </xdr:from>
    <xdr:to>
      <xdr:col>16</xdr:col>
      <xdr:colOff>0</xdr:colOff>
      <xdr:row>10</xdr:row>
      <xdr:rowOff>0</xdr:rowOff>
    </xdr:to>
    <xdr:sp macro="" textlink="">
      <xdr:nvSpPr>
        <xdr:cNvPr id="10" name="Rounded Rectangle 9"/>
        <xdr:cNvSpPr/>
      </xdr:nvSpPr>
      <xdr:spPr>
        <a:xfrm>
          <a:off x="5486400" y="800100"/>
          <a:ext cx="3048000" cy="952500"/>
        </a:xfrm>
        <a:prstGeom prst="roundRect">
          <a:avLst>
            <a:gd name="adj" fmla="val 10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5</xdr:row>
      <xdr:rowOff>0</xdr:rowOff>
    </xdr:from>
    <xdr:to>
      <xdr:col>22</xdr:col>
      <xdr:colOff>0</xdr:colOff>
      <xdr:row>10</xdr:row>
      <xdr:rowOff>0</xdr:rowOff>
    </xdr:to>
    <xdr:sp macro="" textlink="">
      <xdr:nvSpPr>
        <xdr:cNvPr id="11" name="Rounded Rectangle 10"/>
        <xdr:cNvSpPr/>
      </xdr:nvSpPr>
      <xdr:spPr>
        <a:xfrm>
          <a:off x="9144000" y="800100"/>
          <a:ext cx="3048000" cy="952500"/>
        </a:xfrm>
        <a:prstGeom prst="roundRect">
          <a:avLst>
            <a:gd name="adj" fmla="val 10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11</xdr:row>
      <xdr:rowOff>0</xdr:rowOff>
    </xdr:from>
    <xdr:to>
      <xdr:col>22</xdr:col>
      <xdr:colOff>0</xdr:colOff>
      <xdr:row>19</xdr:row>
      <xdr:rowOff>0</xdr:rowOff>
    </xdr:to>
    <xdr:sp macro="" textlink="">
      <xdr:nvSpPr>
        <xdr:cNvPr id="12" name="Rounded Rectangle 11"/>
        <xdr:cNvSpPr/>
      </xdr:nvSpPr>
      <xdr:spPr>
        <a:xfrm>
          <a:off x="1828800" y="1866900"/>
          <a:ext cx="9372600" cy="1524000"/>
        </a:xfrm>
        <a:prstGeom prst="roundRect">
          <a:avLst>
            <a:gd name="adj" fmla="val 6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20</xdr:row>
      <xdr:rowOff>0</xdr:rowOff>
    </xdr:from>
    <xdr:to>
      <xdr:col>22</xdr:col>
      <xdr:colOff>0</xdr:colOff>
      <xdr:row>28</xdr:row>
      <xdr:rowOff>0</xdr:rowOff>
    </xdr:to>
    <xdr:sp macro="" textlink="">
      <xdr:nvSpPr>
        <xdr:cNvPr id="13" name="Rounded Rectangle 12"/>
        <xdr:cNvSpPr/>
      </xdr:nvSpPr>
      <xdr:spPr>
        <a:xfrm>
          <a:off x="1828800" y="3505200"/>
          <a:ext cx="9372600" cy="1524000"/>
        </a:xfrm>
        <a:prstGeom prst="roundRect">
          <a:avLst>
            <a:gd name="adj" fmla="val 6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29</xdr:row>
      <xdr:rowOff>0</xdr:rowOff>
    </xdr:from>
    <xdr:to>
      <xdr:col>10</xdr:col>
      <xdr:colOff>0</xdr:colOff>
      <xdr:row>37</xdr:row>
      <xdr:rowOff>0</xdr:rowOff>
    </xdr:to>
    <xdr:sp macro="" textlink="">
      <xdr:nvSpPr>
        <xdr:cNvPr id="14" name="Rounded Rectangle 13"/>
        <xdr:cNvSpPr/>
      </xdr:nvSpPr>
      <xdr:spPr>
        <a:xfrm>
          <a:off x="1828800" y="5143500"/>
          <a:ext cx="3048000" cy="1524000"/>
        </a:xfrm>
        <a:prstGeom prst="roundRect">
          <a:avLst>
            <a:gd name="adj" fmla="val 6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0</xdr:colOff>
      <xdr:row>29</xdr:row>
      <xdr:rowOff>0</xdr:rowOff>
    </xdr:from>
    <xdr:to>
      <xdr:col>16</xdr:col>
      <xdr:colOff>0</xdr:colOff>
      <xdr:row>37</xdr:row>
      <xdr:rowOff>0</xdr:rowOff>
    </xdr:to>
    <xdr:sp macro="" textlink="">
      <xdr:nvSpPr>
        <xdr:cNvPr id="15" name="Rounded Rectangle 14"/>
        <xdr:cNvSpPr/>
      </xdr:nvSpPr>
      <xdr:spPr>
        <a:xfrm>
          <a:off x="4991100" y="5143500"/>
          <a:ext cx="3048000" cy="1524000"/>
        </a:xfrm>
        <a:prstGeom prst="roundRect">
          <a:avLst>
            <a:gd name="adj" fmla="val 6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0</xdr:colOff>
      <xdr:row>29</xdr:row>
      <xdr:rowOff>0</xdr:rowOff>
    </xdr:from>
    <xdr:to>
      <xdr:col>22</xdr:col>
      <xdr:colOff>0</xdr:colOff>
      <xdr:row>37</xdr:row>
      <xdr:rowOff>0</xdr:rowOff>
    </xdr:to>
    <xdr:sp macro="" textlink="">
      <xdr:nvSpPr>
        <xdr:cNvPr id="16" name="Rounded Rectangle 15"/>
        <xdr:cNvSpPr/>
      </xdr:nvSpPr>
      <xdr:spPr>
        <a:xfrm>
          <a:off x="8153400" y="5143500"/>
          <a:ext cx="3048000" cy="1524000"/>
        </a:xfrm>
        <a:prstGeom prst="roundRect">
          <a:avLst>
            <a:gd name="adj" fmla="val 6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0</xdr:colOff>
      <xdr:row>29</xdr:row>
      <xdr:rowOff>0</xdr:rowOff>
    </xdr:from>
    <xdr:to>
      <xdr:col>28</xdr:col>
      <xdr:colOff>0</xdr:colOff>
      <xdr:row>37</xdr:row>
      <xdr:rowOff>0</xdr:rowOff>
    </xdr:to>
    <xdr:sp macro="" textlink="">
      <xdr:nvSpPr>
        <xdr:cNvPr id="17" name="Rounded Rectangle 16"/>
        <xdr:cNvSpPr/>
      </xdr:nvSpPr>
      <xdr:spPr>
        <a:xfrm>
          <a:off x="11315700" y="5143500"/>
          <a:ext cx="3048000" cy="1524000"/>
        </a:xfrm>
        <a:prstGeom prst="roundRect">
          <a:avLst>
            <a:gd name="adj" fmla="val 6667"/>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23</xdr:col>
      <xdr:colOff>0</xdr:colOff>
      <xdr:row>5</xdr:row>
      <xdr:rowOff>0</xdr:rowOff>
    </xdr:from>
    <xdr:to>
      <xdr:col>28</xdr:col>
      <xdr:colOff>0</xdr:colOff>
      <xdr:row>28</xdr:row>
      <xdr:rowOff>0</xdr:rowOff>
    </xdr:to>
    <xdr:sp macro="" textlink="">
      <xdr:nvSpPr>
        <xdr:cNvPr id="18" name="Rounded Rectangle 17"/>
        <xdr:cNvSpPr/>
      </xdr:nvSpPr>
      <xdr:spPr>
        <a:xfrm>
          <a:off x="11315700" y="800100"/>
          <a:ext cx="3048000" cy="4229100"/>
        </a:xfrm>
        <a:prstGeom prst="roundRect">
          <a:avLst>
            <a:gd name="adj" fmla="val 3333"/>
          </a:avLst>
        </a:prstGeom>
        <a:solidFill>
          <a:srgbClr val="3D405B"/>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590549</xdr:colOff>
      <xdr:row>4</xdr:row>
      <xdr:rowOff>85725</xdr:rowOff>
    </xdr:from>
    <xdr:to>
      <xdr:col>7</xdr:col>
      <xdr:colOff>466724</xdr:colOff>
      <xdr:row>11</xdr:row>
      <xdr:rowOff>47625</xdr:rowOff>
    </xdr:to>
    <xdr:sp macro="" textlink="">
      <xdr:nvSpPr>
        <xdr:cNvPr id="25" name="TextBox 24"/>
        <xdr:cNvSpPr txBox="1"/>
      </xdr:nvSpPr>
      <xdr:spPr>
        <a:xfrm>
          <a:off x="2419349" y="771525"/>
          <a:ext cx="1095375"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800" b="0">
              <a:solidFill>
                <a:schemeClr val="bg1"/>
              </a:solidFill>
              <a:latin typeface="Arial" panose="020B0604020202020204" pitchFamily="34" charset="0"/>
              <a:cs typeface="Arial" panose="020B0604020202020204" pitchFamily="34" charset="0"/>
            </a:rPr>
            <a:t>Total Findings</a:t>
          </a:r>
        </a:p>
      </xdr:txBody>
    </xdr:sp>
    <xdr:clientData/>
  </xdr:twoCellAnchor>
  <xdr:twoCellAnchor>
    <xdr:from>
      <xdr:col>4</xdr:col>
      <xdr:colOff>104775</xdr:colOff>
      <xdr:row>4</xdr:row>
      <xdr:rowOff>85725</xdr:rowOff>
    </xdr:from>
    <xdr:to>
      <xdr:col>5</xdr:col>
      <xdr:colOff>466726</xdr:colOff>
      <xdr:row>7</xdr:row>
      <xdr:rowOff>57149</xdr:rowOff>
    </xdr:to>
    <xdr:sp macro="" textlink="">
      <xdr:nvSpPr>
        <xdr:cNvPr id="26" name="TextBox 25"/>
        <xdr:cNvSpPr txBox="1"/>
      </xdr:nvSpPr>
      <xdr:spPr>
        <a:xfrm>
          <a:off x="1819275" y="771525"/>
          <a:ext cx="476251" cy="466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bg1"/>
              </a:solidFill>
              <a:latin typeface="Webdings" panose="05030102010509060703" pitchFamily="18" charset="2"/>
              <a:cs typeface="Arial" panose="020B0604020202020204" pitchFamily="34" charset="0"/>
            </a:rPr>
            <a:t>L</a:t>
          </a:r>
          <a:endParaRPr lang="en-US" sz="1400" b="1">
            <a:solidFill>
              <a:schemeClr val="bg1"/>
            </a:solidFill>
            <a:latin typeface="Webdings" panose="05030102010509060703" pitchFamily="18" charset="2"/>
            <a:cs typeface="Arial" panose="020B0604020202020204" pitchFamily="34" charset="0"/>
          </a:endParaRPr>
        </a:p>
      </xdr:txBody>
    </xdr:sp>
    <xdr:clientData/>
  </xdr:twoCellAnchor>
  <xdr:twoCellAnchor>
    <xdr:from>
      <xdr:col>12</xdr:col>
      <xdr:colOff>28574</xdr:colOff>
      <xdr:row>4</xdr:row>
      <xdr:rowOff>85725</xdr:rowOff>
    </xdr:from>
    <xdr:to>
      <xdr:col>13</xdr:col>
      <xdr:colOff>514349</xdr:colOff>
      <xdr:row>11</xdr:row>
      <xdr:rowOff>47625</xdr:rowOff>
    </xdr:to>
    <xdr:sp macro="" textlink="">
      <xdr:nvSpPr>
        <xdr:cNvPr id="27" name="TextBox 26"/>
        <xdr:cNvSpPr txBox="1"/>
      </xdr:nvSpPr>
      <xdr:spPr>
        <a:xfrm>
          <a:off x="5629274" y="771525"/>
          <a:ext cx="1095375"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800" b="0">
              <a:solidFill>
                <a:schemeClr val="bg1"/>
              </a:solidFill>
              <a:latin typeface="Arial" panose="020B0604020202020204" pitchFamily="34" charset="0"/>
              <a:cs typeface="Arial" panose="020B0604020202020204" pitchFamily="34" charset="0"/>
            </a:rPr>
            <a:t>Closures</a:t>
          </a:r>
        </a:p>
      </xdr:txBody>
    </xdr:sp>
    <xdr:clientData/>
  </xdr:twoCellAnchor>
  <xdr:twoCellAnchor>
    <xdr:from>
      <xdr:col>17</xdr:col>
      <xdr:colOff>561975</xdr:colOff>
      <xdr:row>4</xdr:row>
      <xdr:rowOff>85725</xdr:rowOff>
    </xdr:from>
    <xdr:to>
      <xdr:col>19</xdr:col>
      <xdr:colOff>535305</xdr:colOff>
      <xdr:row>11</xdr:row>
      <xdr:rowOff>47625</xdr:rowOff>
    </xdr:to>
    <xdr:sp macro="" textlink="">
      <xdr:nvSpPr>
        <xdr:cNvPr id="28" name="TextBox 27"/>
        <xdr:cNvSpPr txBox="1"/>
      </xdr:nvSpPr>
      <xdr:spPr>
        <a:xfrm>
          <a:off x="8715375" y="771525"/>
          <a:ext cx="1192530" cy="1143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800" b="0">
              <a:solidFill>
                <a:schemeClr val="bg1"/>
              </a:solidFill>
              <a:latin typeface="Arial" panose="020B0604020202020204" pitchFamily="34" charset="0"/>
              <a:cs typeface="Arial" panose="020B0604020202020204" pitchFamily="34" charset="0"/>
            </a:rPr>
            <a:t>Retargets</a:t>
          </a:r>
        </a:p>
      </xdr:txBody>
    </xdr:sp>
    <xdr:clientData/>
  </xdr:twoCellAnchor>
  <xdr:twoCellAnchor>
    <xdr:from>
      <xdr:col>11</xdr:col>
      <xdr:colOff>38100</xdr:colOff>
      <xdr:row>4</xdr:row>
      <xdr:rowOff>85725</xdr:rowOff>
    </xdr:from>
    <xdr:to>
      <xdr:col>11</xdr:col>
      <xdr:colOff>514351</xdr:colOff>
      <xdr:row>7</xdr:row>
      <xdr:rowOff>57149</xdr:rowOff>
    </xdr:to>
    <xdr:sp macro="" textlink="">
      <xdr:nvSpPr>
        <xdr:cNvPr id="29" name="TextBox 28"/>
        <xdr:cNvSpPr txBox="1"/>
      </xdr:nvSpPr>
      <xdr:spPr>
        <a:xfrm>
          <a:off x="5029200" y="771525"/>
          <a:ext cx="476251" cy="466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1">
              <a:solidFill>
                <a:schemeClr val="bg1"/>
              </a:solidFill>
              <a:latin typeface="Wingdings 2" panose="05020102010507070707" pitchFamily="18" charset="2"/>
              <a:cs typeface="Arial" panose="020B0604020202020204" pitchFamily="34" charset="0"/>
            </a:rPr>
            <a:t>R</a:t>
          </a:r>
          <a:endParaRPr lang="en-US" sz="1400" b="1">
            <a:solidFill>
              <a:schemeClr val="bg1"/>
            </a:solidFill>
            <a:latin typeface="Wingdings 2" panose="05020102010507070707" pitchFamily="18" charset="2"/>
            <a:cs typeface="Arial" panose="020B0604020202020204" pitchFamily="34" charset="0"/>
          </a:endParaRPr>
        </a:p>
      </xdr:txBody>
    </xdr:sp>
    <xdr:clientData/>
  </xdr:twoCellAnchor>
  <xdr:twoCellAnchor>
    <xdr:from>
      <xdr:col>17</xdr:col>
      <xdr:colOff>57150</xdr:colOff>
      <xdr:row>4</xdr:row>
      <xdr:rowOff>85725</xdr:rowOff>
    </xdr:from>
    <xdr:to>
      <xdr:col>17</xdr:col>
      <xdr:colOff>533401</xdr:colOff>
      <xdr:row>7</xdr:row>
      <xdr:rowOff>57149</xdr:rowOff>
    </xdr:to>
    <xdr:sp macro="" textlink="">
      <xdr:nvSpPr>
        <xdr:cNvPr id="30" name="TextBox 29"/>
        <xdr:cNvSpPr txBox="1"/>
      </xdr:nvSpPr>
      <xdr:spPr>
        <a:xfrm>
          <a:off x="8210550" y="771525"/>
          <a:ext cx="476251" cy="466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2400" b="0">
              <a:solidFill>
                <a:schemeClr val="bg1"/>
              </a:solidFill>
              <a:latin typeface="Wingdings" panose="05000000000000000000" pitchFamily="2" charset="2"/>
              <a:cs typeface="Arial" panose="020B0604020202020204" pitchFamily="34" charset="0"/>
            </a:rPr>
            <a:t>¥</a:t>
          </a:r>
          <a:endParaRPr lang="en-US" sz="1400" b="0">
            <a:solidFill>
              <a:schemeClr val="bg1"/>
            </a:solidFill>
            <a:latin typeface="Wingdings" panose="05000000000000000000" pitchFamily="2" charset="2"/>
            <a:cs typeface="Arial" panose="020B0604020202020204" pitchFamily="34" charset="0"/>
          </a:endParaRPr>
        </a:p>
      </xdr:txBody>
    </xdr:sp>
    <xdr:clientData/>
  </xdr:twoCellAnchor>
  <xdr:twoCellAnchor>
    <xdr:from>
      <xdr:col>4</xdr:col>
      <xdr:colOff>114299</xdr:colOff>
      <xdr:row>11</xdr:row>
      <xdr:rowOff>0</xdr:rowOff>
    </xdr:from>
    <xdr:to>
      <xdr:col>8</xdr:col>
      <xdr:colOff>257174</xdr:colOff>
      <xdr:row>13</xdr:row>
      <xdr:rowOff>28575</xdr:rowOff>
    </xdr:to>
    <xdr:sp macro="" textlink="">
      <xdr:nvSpPr>
        <xdr:cNvPr id="31" name="TextBox 30"/>
        <xdr:cNvSpPr txBox="1"/>
      </xdr:nvSpPr>
      <xdr:spPr>
        <a:xfrm>
          <a:off x="1828799" y="1866900"/>
          <a:ext cx="20859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baseline="0">
              <a:solidFill>
                <a:schemeClr val="bg1"/>
              </a:solidFill>
              <a:latin typeface="Arial" panose="020B0604020202020204" pitchFamily="34" charset="0"/>
              <a:cs typeface="Arial" panose="020B0604020202020204" pitchFamily="34" charset="0"/>
            </a:rPr>
            <a:t>   Findings by Month</a:t>
          </a:r>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0</xdr:colOff>
      <xdr:row>20</xdr:row>
      <xdr:rowOff>0</xdr:rowOff>
    </xdr:from>
    <xdr:to>
      <xdr:col>8</xdr:col>
      <xdr:colOff>257175</xdr:colOff>
      <xdr:row>22</xdr:row>
      <xdr:rowOff>28575</xdr:rowOff>
    </xdr:to>
    <xdr:sp macro="" textlink="">
      <xdr:nvSpPr>
        <xdr:cNvPr id="33" name="TextBox 32"/>
        <xdr:cNvSpPr txBox="1"/>
      </xdr:nvSpPr>
      <xdr:spPr>
        <a:xfrm>
          <a:off x="1828800" y="3505200"/>
          <a:ext cx="20859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baseline="0">
              <a:solidFill>
                <a:schemeClr val="bg1"/>
              </a:solidFill>
              <a:latin typeface="Arial" panose="020B0604020202020204" pitchFamily="34" charset="0"/>
              <a:cs typeface="Arial" panose="020B0604020202020204" pitchFamily="34" charset="0"/>
            </a:rPr>
            <a:t>   Closures by Month</a:t>
          </a:r>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23</xdr:col>
      <xdr:colOff>0</xdr:colOff>
      <xdr:row>5</xdr:row>
      <xdr:rowOff>0</xdr:rowOff>
    </xdr:from>
    <xdr:to>
      <xdr:col>26</xdr:col>
      <xdr:colOff>257175</xdr:colOff>
      <xdr:row>7</xdr:row>
      <xdr:rowOff>28575</xdr:rowOff>
    </xdr:to>
    <xdr:sp macro="" textlink="">
      <xdr:nvSpPr>
        <xdr:cNvPr id="34" name="TextBox 33"/>
        <xdr:cNvSpPr txBox="1"/>
      </xdr:nvSpPr>
      <xdr:spPr>
        <a:xfrm>
          <a:off x="11315700" y="800100"/>
          <a:ext cx="20859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baseline="0">
              <a:solidFill>
                <a:schemeClr val="bg1"/>
              </a:solidFill>
              <a:latin typeface="Arial" panose="020B0604020202020204" pitchFamily="34" charset="0"/>
              <a:cs typeface="Arial" panose="020B0604020202020204" pitchFamily="34" charset="0"/>
            </a:rPr>
            <a:t>   Findings by Owner</a:t>
          </a:r>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0</xdr:colOff>
      <xdr:row>29</xdr:row>
      <xdr:rowOff>0</xdr:rowOff>
    </xdr:from>
    <xdr:to>
      <xdr:col>8</xdr:col>
      <xdr:colOff>257175</xdr:colOff>
      <xdr:row>31</xdr:row>
      <xdr:rowOff>28575</xdr:rowOff>
    </xdr:to>
    <xdr:sp macro="" textlink="">
      <xdr:nvSpPr>
        <xdr:cNvPr id="35" name="TextBox 34"/>
        <xdr:cNvSpPr txBox="1"/>
      </xdr:nvSpPr>
      <xdr:spPr>
        <a:xfrm>
          <a:off x="1828800" y="5143500"/>
          <a:ext cx="20859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baseline="0">
              <a:solidFill>
                <a:schemeClr val="bg1"/>
              </a:solidFill>
              <a:latin typeface="Arial" panose="020B0604020202020204" pitchFamily="34" charset="0"/>
              <a:cs typeface="Arial" panose="020B0604020202020204" pitchFamily="34" charset="0"/>
            </a:rPr>
            <a:t>   Criticality</a:t>
          </a:r>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11</xdr:col>
      <xdr:colOff>0</xdr:colOff>
      <xdr:row>29</xdr:row>
      <xdr:rowOff>0</xdr:rowOff>
    </xdr:from>
    <xdr:to>
      <xdr:col>14</xdr:col>
      <xdr:colOff>257175</xdr:colOff>
      <xdr:row>31</xdr:row>
      <xdr:rowOff>28575</xdr:rowOff>
    </xdr:to>
    <xdr:sp macro="" textlink="">
      <xdr:nvSpPr>
        <xdr:cNvPr id="36" name="TextBox 35"/>
        <xdr:cNvSpPr txBox="1"/>
      </xdr:nvSpPr>
      <xdr:spPr>
        <a:xfrm>
          <a:off x="4991100" y="5143500"/>
          <a:ext cx="20859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baseline="0">
              <a:solidFill>
                <a:schemeClr val="bg1"/>
              </a:solidFill>
              <a:latin typeface="Arial" panose="020B0604020202020204" pitchFamily="34" charset="0"/>
              <a:cs typeface="Arial" panose="020B0604020202020204" pitchFamily="34" charset="0"/>
            </a:rPr>
            <a:t>   Plan Status</a:t>
          </a:r>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17</xdr:col>
      <xdr:colOff>0</xdr:colOff>
      <xdr:row>29</xdr:row>
      <xdr:rowOff>0</xdr:rowOff>
    </xdr:from>
    <xdr:to>
      <xdr:col>20</xdr:col>
      <xdr:colOff>257175</xdr:colOff>
      <xdr:row>31</xdr:row>
      <xdr:rowOff>28575</xdr:rowOff>
    </xdr:to>
    <xdr:sp macro="" textlink="">
      <xdr:nvSpPr>
        <xdr:cNvPr id="37" name="TextBox 36"/>
        <xdr:cNvSpPr txBox="1"/>
      </xdr:nvSpPr>
      <xdr:spPr>
        <a:xfrm>
          <a:off x="8153400" y="5143500"/>
          <a:ext cx="20859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baseline="0">
              <a:solidFill>
                <a:schemeClr val="bg1"/>
              </a:solidFill>
              <a:latin typeface="Arial" panose="020B0604020202020204" pitchFamily="34" charset="0"/>
              <a:cs typeface="Arial" panose="020B0604020202020204" pitchFamily="34" charset="0"/>
            </a:rPr>
            <a:t>   Tech Dependency</a:t>
          </a:r>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23</xdr:col>
      <xdr:colOff>0</xdr:colOff>
      <xdr:row>29</xdr:row>
      <xdr:rowOff>0</xdr:rowOff>
    </xdr:from>
    <xdr:to>
      <xdr:col>26</xdr:col>
      <xdr:colOff>257175</xdr:colOff>
      <xdr:row>31</xdr:row>
      <xdr:rowOff>28575</xdr:rowOff>
    </xdr:to>
    <xdr:sp macro="" textlink="">
      <xdr:nvSpPr>
        <xdr:cNvPr id="38" name="TextBox 37"/>
        <xdr:cNvSpPr txBox="1"/>
      </xdr:nvSpPr>
      <xdr:spPr>
        <a:xfrm>
          <a:off x="11315700" y="5143500"/>
          <a:ext cx="2085975" cy="409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1" baseline="0">
              <a:solidFill>
                <a:schemeClr val="bg1"/>
              </a:solidFill>
              <a:latin typeface="Arial" panose="020B0604020202020204" pitchFamily="34" charset="0"/>
              <a:cs typeface="Arial" panose="020B0604020202020204" pitchFamily="34" charset="0"/>
            </a:rPr>
            <a:t>   Fraud Dependency</a:t>
          </a:r>
          <a:endParaRPr lang="en-US" sz="12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0</xdr:colOff>
      <xdr:row>12</xdr:row>
      <xdr:rowOff>85725</xdr:rowOff>
    </xdr:from>
    <xdr:to>
      <xdr:col>22</xdr:col>
      <xdr:colOff>0</xdr:colOff>
      <xdr:row>18</xdr:row>
      <xdr:rowOff>190499</xdr:rowOff>
    </xdr:to>
    <xdr:graphicFrame macro="">
      <xdr:nvGraphicFramePr>
        <xdr:cNvPr id="39" name="Chart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21</xdr:row>
      <xdr:rowOff>76200</xdr:rowOff>
    </xdr:from>
    <xdr:to>
      <xdr:col>22</xdr:col>
      <xdr:colOff>0</xdr:colOff>
      <xdr:row>27</xdr:row>
      <xdr:rowOff>190499</xdr:rowOff>
    </xdr:to>
    <xdr:graphicFrame macro="">
      <xdr:nvGraphicFramePr>
        <xdr:cNvPr id="40" name="Chart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30</xdr:row>
      <xdr:rowOff>85725</xdr:rowOff>
    </xdr:from>
    <xdr:to>
      <xdr:col>16</xdr:col>
      <xdr:colOff>0</xdr:colOff>
      <xdr:row>37</xdr:row>
      <xdr:rowOff>0</xdr:rowOff>
    </xdr:to>
    <xdr:graphicFrame macro="">
      <xdr:nvGraphicFramePr>
        <xdr:cNvPr id="41" name="Chart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xdr:colOff>
      <xdr:row>30</xdr:row>
      <xdr:rowOff>95250</xdr:rowOff>
    </xdr:from>
    <xdr:to>
      <xdr:col>10</xdr:col>
      <xdr:colOff>1</xdr:colOff>
      <xdr:row>37</xdr:row>
      <xdr:rowOff>0</xdr:rowOff>
    </xdr:to>
    <xdr:graphicFrame macro="">
      <xdr:nvGraphicFramePr>
        <xdr:cNvPr id="42"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0</xdr:colOff>
      <xdr:row>6</xdr:row>
      <xdr:rowOff>85726</xdr:rowOff>
    </xdr:from>
    <xdr:to>
      <xdr:col>28</xdr:col>
      <xdr:colOff>0</xdr:colOff>
      <xdr:row>28</xdr:row>
      <xdr:rowOff>0</xdr:rowOff>
    </xdr:to>
    <xdr:graphicFrame macro="">
      <xdr:nvGraphicFramePr>
        <xdr:cNvPr id="43" name="Chart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0</xdr:colOff>
      <xdr:row>34</xdr:row>
      <xdr:rowOff>45720</xdr:rowOff>
    </xdr:from>
    <xdr:to>
      <xdr:col>22</xdr:col>
      <xdr:colOff>104775</xdr:colOff>
      <xdr:row>38</xdr:row>
      <xdr:rowOff>0</xdr:rowOff>
    </xdr:to>
    <xdr:graphicFrame macro="">
      <xdr:nvGraphicFramePr>
        <xdr:cNvPr id="46" name="Chart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12192</xdr:colOff>
      <xdr:row>34</xdr:row>
      <xdr:rowOff>45720</xdr:rowOff>
    </xdr:from>
    <xdr:to>
      <xdr:col>29</xdr:col>
      <xdr:colOff>0</xdr:colOff>
      <xdr:row>38</xdr:row>
      <xdr:rowOff>0</xdr:rowOff>
    </xdr:to>
    <xdr:graphicFrame macro="">
      <xdr:nvGraphicFramePr>
        <xdr:cNvPr id="47" name="Chart 4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0</xdr:colOff>
      <xdr:row>5</xdr:row>
      <xdr:rowOff>0</xdr:rowOff>
    </xdr:from>
    <xdr:to>
      <xdr:col>9</xdr:col>
      <xdr:colOff>428625</xdr:colOff>
      <xdr:row>9</xdr:row>
      <xdr:rowOff>190499</xdr:rowOff>
    </xdr:to>
    <xdr:sp macro="" textlink="'Overall Pivots'!AA2">
      <xdr:nvSpPr>
        <xdr:cNvPr id="48" name="TextBox 47"/>
        <xdr:cNvSpPr txBox="1"/>
      </xdr:nvSpPr>
      <xdr:spPr>
        <a:xfrm>
          <a:off x="3657600" y="800100"/>
          <a:ext cx="1038225" cy="952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1BB9AB1-2DCC-464A-BF74-D55D5ACDEA60}" type="TxLink">
            <a:rPr lang="en-US" sz="4000" b="0" i="0" u="none" strike="noStrike">
              <a:solidFill>
                <a:schemeClr val="bg1"/>
              </a:solidFill>
              <a:latin typeface="Calibri"/>
              <a:cs typeface="Calibri"/>
            </a:rPr>
            <a:pPr algn="ctr"/>
            <a:t>120</a:t>
          </a:fld>
          <a:endParaRPr lang="en-US" sz="4000">
            <a:solidFill>
              <a:schemeClr val="bg1"/>
            </a:solidFill>
          </a:endParaRPr>
        </a:p>
      </xdr:txBody>
    </xdr:sp>
    <xdr:clientData/>
  </xdr:twoCellAnchor>
  <xdr:twoCellAnchor>
    <xdr:from>
      <xdr:col>14</xdr:col>
      <xdr:colOff>0</xdr:colOff>
      <xdr:row>5</xdr:row>
      <xdr:rowOff>1</xdr:rowOff>
    </xdr:from>
    <xdr:to>
      <xdr:col>15</xdr:col>
      <xdr:colOff>428625</xdr:colOff>
      <xdr:row>10</xdr:row>
      <xdr:rowOff>0</xdr:rowOff>
    </xdr:to>
    <xdr:sp macro="" textlink="'Overall Pivots'!AA3">
      <xdr:nvSpPr>
        <xdr:cNvPr id="49" name="TextBox 48"/>
        <xdr:cNvSpPr txBox="1"/>
      </xdr:nvSpPr>
      <xdr:spPr>
        <a:xfrm>
          <a:off x="6819900" y="800101"/>
          <a:ext cx="1038225" cy="952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5878D3-4D18-4898-8C7F-F988E4D7B11E}" type="TxLink">
            <a:rPr lang="en-US" sz="4000" b="0" i="0" u="none" strike="noStrike">
              <a:solidFill>
                <a:schemeClr val="bg1"/>
              </a:solidFill>
              <a:latin typeface="Calibri"/>
              <a:cs typeface="Calibri"/>
            </a:rPr>
            <a:pPr algn="ctr"/>
            <a:t>47</a:t>
          </a:fld>
          <a:endParaRPr lang="en-US" sz="4000">
            <a:solidFill>
              <a:schemeClr val="bg1"/>
            </a:solidFill>
          </a:endParaRPr>
        </a:p>
      </xdr:txBody>
    </xdr:sp>
    <xdr:clientData/>
  </xdr:twoCellAnchor>
  <xdr:twoCellAnchor>
    <xdr:from>
      <xdr:col>20</xdr:col>
      <xdr:colOff>0</xdr:colOff>
      <xdr:row>5</xdr:row>
      <xdr:rowOff>1</xdr:rowOff>
    </xdr:from>
    <xdr:to>
      <xdr:col>21</xdr:col>
      <xdr:colOff>428625</xdr:colOff>
      <xdr:row>10</xdr:row>
      <xdr:rowOff>0</xdr:rowOff>
    </xdr:to>
    <xdr:sp macro="" textlink="'Overall Pivots'!AA4">
      <xdr:nvSpPr>
        <xdr:cNvPr id="52" name="TextBox 51"/>
        <xdr:cNvSpPr txBox="1"/>
      </xdr:nvSpPr>
      <xdr:spPr>
        <a:xfrm>
          <a:off x="9982200" y="800101"/>
          <a:ext cx="1038225" cy="952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2FDFED-4220-4947-98DC-1A10EF375471}" type="TxLink">
            <a:rPr lang="en-US" sz="4000" b="0" i="0" u="none" strike="noStrike">
              <a:solidFill>
                <a:schemeClr val="bg1"/>
              </a:solidFill>
              <a:latin typeface="Calibri"/>
              <a:cs typeface="Calibri"/>
            </a:rPr>
            <a:pPr algn="ctr"/>
            <a:t>30</a:t>
          </a:fld>
          <a:endParaRPr lang="en-US" sz="4000">
            <a:solidFill>
              <a:schemeClr val="bg1"/>
            </a:solidFill>
          </a:endParaRPr>
        </a:p>
      </xdr:txBody>
    </xdr:sp>
    <xdr:clientData/>
  </xdr:twoCellAnchor>
  <xdr:twoCellAnchor>
    <xdr:from>
      <xdr:col>19</xdr:col>
      <xdr:colOff>228600</xdr:colOff>
      <xdr:row>29</xdr:row>
      <xdr:rowOff>0</xdr:rowOff>
    </xdr:from>
    <xdr:to>
      <xdr:col>21</xdr:col>
      <xdr:colOff>47625</xdr:colOff>
      <xdr:row>37</xdr:row>
      <xdr:rowOff>0</xdr:rowOff>
    </xdr:to>
    <xdr:sp macro="" textlink="'Overall Pivots'!AA4">
      <xdr:nvSpPr>
        <xdr:cNvPr id="53" name="TextBox 52"/>
        <xdr:cNvSpPr txBox="1"/>
      </xdr:nvSpPr>
      <xdr:spPr>
        <a:xfrm>
          <a:off x="9601200" y="5143500"/>
          <a:ext cx="1038225" cy="152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C2FDFED-4220-4947-98DC-1A10EF375471}" type="TxLink">
            <a:rPr lang="en-US" sz="4400" b="0" i="0" u="none" strike="noStrike">
              <a:solidFill>
                <a:schemeClr val="bg1"/>
              </a:solidFill>
              <a:latin typeface="Calibri"/>
              <a:cs typeface="Calibri"/>
            </a:rPr>
            <a:pPr algn="ctr"/>
            <a:t>30</a:t>
          </a:fld>
          <a:endParaRPr lang="en-US" sz="4400">
            <a:solidFill>
              <a:schemeClr val="bg1"/>
            </a:solidFill>
          </a:endParaRPr>
        </a:p>
      </xdr:txBody>
    </xdr:sp>
    <xdr:clientData/>
  </xdr:twoCellAnchor>
  <xdr:twoCellAnchor>
    <xdr:from>
      <xdr:col>17</xdr:col>
      <xdr:colOff>276226</xdr:colOff>
      <xdr:row>31</xdr:row>
      <xdr:rowOff>66676</xdr:rowOff>
    </xdr:from>
    <xdr:to>
      <xdr:col>18</xdr:col>
      <xdr:colOff>447676</xdr:colOff>
      <xdr:row>36</xdr:row>
      <xdr:rowOff>66675</xdr:rowOff>
    </xdr:to>
    <xdr:sp macro="" textlink="'Overall Pivots'!AC5">
      <xdr:nvSpPr>
        <xdr:cNvPr id="54" name="TextBox 53"/>
        <xdr:cNvSpPr txBox="1"/>
      </xdr:nvSpPr>
      <xdr:spPr>
        <a:xfrm>
          <a:off x="8429626" y="5591176"/>
          <a:ext cx="781050" cy="952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52575B-E488-4E1F-A329-6EC7389FACEE}" type="TxLink">
            <a:rPr lang="en-US" sz="2400" b="0" i="0" u="none" strike="noStrike">
              <a:solidFill>
                <a:srgbClr val="81B29A"/>
              </a:solidFill>
              <a:latin typeface="Calibri"/>
              <a:cs typeface="Calibri"/>
            </a:rPr>
            <a:pPr algn="ctr"/>
            <a:t>48%</a:t>
          </a:fld>
          <a:endParaRPr lang="en-US" sz="2400">
            <a:solidFill>
              <a:srgbClr val="81B29A"/>
            </a:solidFill>
          </a:endParaRPr>
        </a:p>
      </xdr:txBody>
    </xdr:sp>
    <xdr:clientData/>
  </xdr:twoCellAnchor>
  <xdr:twoCellAnchor>
    <xdr:from>
      <xdr:col>25</xdr:col>
      <xdr:colOff>285750</xdr:colOff>
      <xdr:row>29</xdr:row>
      <xdr:rowOff>0</xdr:rowOff>
    </xdr:from>
    <xdr:to>
      <xdr:col>27</xdr:col>
      <xdr:colOff>104775</xdr:colOff>
      <xdr:row>37</xdr:row>
      <xdr:rowOff>0</xdr:rowOff>
    </xdr:to>
    <xdr:sp macro="" textlink="'Overall Pivots'!AA6">
      <xdr:nvSpPr>
        <xdr:cNvPr id="55" name="TextBox 54"/>
        <xdr:cNvSpPr txBox="1"/>
      </xdr:nvSpPr>
      <xdr:spPr>
        <a:xfrm>
          <a:off x="12820650" y="5143500"/>
          <a:ext cx="1038225" cy="1524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2360263-7AB8-4626-B1F1-B9A34E2FD0CF}" type="TxLink">
            <a:rPr lang="en-US" sz="4400" b="0" i="0" u="none" strike="noStrike">
              <a:solidFill>
                <a:schemeClr val="bg1"/>
              </a:solidFill>
              <a:latin typeface="Calibri"/>
              <a:cs typeface="Calibri"/>
            </a:rPr>
            <a:pPr algn="ctr"/>
            <a:t>64</a:t>
          </a:fld>
          <a:endParaRPr lang="en-US" sz="4400">
            <a:solidFill>
              <a:schemeClr val="bg1"/>
            </a:solidFill>
          </a:endParaRPr>
        </a:p>
      </xdr:txBody>
    </xdr:sp>
    <xdr:clientData/>
  </xdr:twoCellAnchor>
  <xdr:twoCellAnchor>
    <xdr:from>
      <xdr:col>23</xdr:col>
      <xdr:colOff>333376</xdr:colOff>
      <xdr:row>31</xdr:row>
      <xdr:rowOff>66676</xdr:rowOff>
    </xdr:from>
    <xdr:to>
      <xdr:col>24</xdr:col>
      <xdr:colOff>504826</xdr:colOff>
      <xdr:row>36</xdr:row>
      <xdr:rowOff>66675</xdr:rowOff>
    </xdr:to>
    <xdr:sp macro="" textlink="'Overall Pivots'!AB6">
      <xdr:nvSpPr>
        <xdr:cNvPr id="56" name="TextBox 55"/>
        <xdr:cNvSpPr txBox="1"/>
      </xdr:nvSpPr>
      <xdr:spPr>
        <a:xfrm>
          <a:off x="11649076" y="5591176"/>
          <a:ext cx="781050" cy="952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CAFAAAF-9EC3-4B29-B20C-4E7FF439FC75}" type="TxLink">
            <a:rPr lang="en-US" sz="2400" b="0" i="0" u="none" strike="noStrike">
              <a:solidFill>
                <a:srgbClr val="81B29A"/>
              </a:solidFill>
              <a:latin typeface="Calibri"/>
              <a:cs typeface="Calibri"/>
            </a:rPr>
            <a:pPr algn="ctr"/>
            <a:t>53%</a:t>
          </a:fld>
          <a:endParaRPr lang="en-US" sz="4800">
            <a:solidFill>
              <a:srgbClr val="81B29A"/>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Lucas Beattie" refreshedDate="44506.606230671299" createdVersion="6" refreshedVersion="6" minRefreshableVersion="3" recordCount="120">
  <cacheSource type="worksheet">
    <worksheetSource name="overall_data"/>
  </cacheSource>
  <cacheFields count="22">
    <cacheField name="Finding Date" numFmtId="164">
      <sharedItems containsSemiMixedTypes="0" containsNonDate="0" containsDate="1" containsString="0" minDate="2021-01-01T00:00:00" maxDate="2022-02-11T00:00:00" count="100">
        <d v="2021-01-03T00:00:00"/>
        <d v="2021-01-01T00:00:00"/>
        <d v="2021-11-11T00:00:00"/>
        <d v="2021-06-16T00:00:00"/>
        <d v="2021-01-13T00:00:00"/>
        <d v="2021-01-20T00:00:00"/>
        <d v="2021-11-10T00:00:00"/>
        <d v="2021-02-14T00:00:00"/>
        <d v="2021-03-02T00:00:00"/>
        <d v="2021-09-05T00:00:00"/>
        <d v="2021-08-12T00:00:00"/>
        <d v="2021-02-05T00:00:00"/>
        <d v="2021-12-15T00:00:00"/>
        <d v="2021-03-01T00:00:00"/>
        <d v="2021-07-23T00:00:00"/>
        <d v="2021-08-24T00:00:00"/>
        <d v="2021-07-21T00:00:00"/>
        <d v="2021-11-07T00:00:00"/>
        <d v="2021-01-23T00:00:00"/>
        <d v="2021-08-04T00:00:00"/>
        <d v="2021-06-28T00:00:00"/>
        <d v="2021-04-21T00:00:00"/>
        <d v="2021-05-22T00:00:00"/>
        <d v="2021-12-24T00:00:00"/>
        <d v="2021-08-11T00:00:00"/>
        <d v="2021-01-16T00:00:00"/>
        <d v="2021-08-30T00:00:00"/>
        <d v="2021-01-27T00:00:00"/>
        <d v="2021-06-25T00:00:00"/>
        <d v="2021-02-07T00:00:00"/>
        <d v="2021-10-19T00:00:00"/>
        <d v="2021-03-12T00:00:00"/>
        <d v="2021-11-29T00:00:00"/>
        <d v="2021-04-22T00:00:00"/>
        <d v="2021-08-06T00:00:00"/>
        <d v="2021-08-29T00:00:00"/>
        <d v="2021-06-07T00:00:00"/>
        <d v="2021-05-05T00:00:00"/>
        <d v="2021-01-29T00:00:00"/>
        <d v="2021-12-18T00:00:00"/>
        <d v="2021-05-26T00:00:00"/>
        <d v="2021-01-15T00:00:00"/>
        <d v="2021-01-17T00:00:00"/>
        <d v="2021-01-31T00:00:00"/>
        <d v="2021-06-09T00:00:00"/>
        <d v="2021-02-13T00:00:00"/>
        <d v="2021-11-18T00:00:00"/>
        <d v="2021-12-28T00:00:00"/>
        <d v="2021-10-02T00:00:00"/>
        <d v="2021-05-31T00:00:00"/>
        <d v="2021-10-23T00:00:00"/>
        <d v="2021-03-16T00:00:00"/>
        <d v="2021-02-01T00:00:00"/>
        <d v="2021-08-19T00:00:00"/>
        <d v="2021-12-02T00:00:00"/>
        <d v="2021-12-26T00:00:00"/>
        <d v="2021-09-07T00:00:00"/>
        <d v="2021-04-09T00:00:00"/>
        <d v="2021-04-02T00:00:00"/>
        <d v="2021-03-09T00:00:00"/>
        <d v="2021-12-22T00:00:00"/>
        <d v="2021-11-28T00:00:00"/>
        <d v="2021-11-06T00:00:00"/>
        <d v="2021-09-20T00:00:00"/>
        <d v="2021-05-13T00:00:00"/>
        <d v="2021-08-16T00:00:00"/>
        <d v="2021-06-26T00:00:00"/>
        <d v="2021-08-31T00:00:00"/>
        <d v="2021-07-05T00:00:00"/>
        <d v="2021-03-23T00:00:00"/>
        <d v="2021-05-23T00:00:00"/>
        <d v="2021-04-04T00:00:00"/>
        <d v="2021-03-18T00:00:00"/>
        <d v="2021-04-03T00:00:00"/>
        <d v="2021-07-10T00:00:00"/>
        <d v="2021-06-10T00:00:00"/>
        <d v="2021-08-27T00:00:00"/>
        <d v="2021-06-08T00:00:00"/>
        <d v="2021-11-20T00:00:00"/>
        <d v="2021-05-27T00:00:00"/>
        <d v="2021-02-10T00:00:00"/>
        <d v="2021-04-26T00:00:00"/>
        <d v="2021-04-25T00:00:00"/>
        <d v="2021-07-15T00:00:00"/>
        <d v="2021-11-05T00:00:00"/>
        <d v="2021-02-18T00:00:00"/>
        <d v="2021-11-15T00:00:00"/>
        <d v="2021-10-14T00:00:00"/>
        <d v="2021-09-27T00:00:00"/>
        <d v="2021-10-31T00:00:00"/>
        <d v="2022-01-09T00:00:00"/>
        <d v="2022-02-10T00:00:00"/>
        <d v="2021-03-05T00:00:00"/>
        <d v="2021-10-28T00:00:00"/>
        <d v="2021-09-09T00:00:00"/>
        <d v="2021-02-11T00:00:00"/>
        <d v="2021-12-30T00:00:00"/>
        <d v="2021-08-10T00:00:00"/>
        <d v="2021-01-08T00:00:00"/>
        <d v="2021-09-19T00:00:00"/>
      </sharedItems>
      <fieldGroup par="21" base="0">
        <rangePr groupBy="months" startDate="2021-01-01T00:00:00" endDate="2022-02-11T00:00:00"/>
        <groupItems count="14">
          <s v="&lt;1/1/2021"/>
          <s v="Jan"/>
          <s v="Feb"/>
          <s v="Mar"/>
          <s v="Apr"/>
          <s v="May"/>
          <s v="Jun"/>
          <s v="Jul"/>
          <s v="Aug"/>
          <s v="Sep"/>
          <s v="Oct"/>
          <s v="Nov"/>
          <s v="Dec"/>
          <s v="&gt;2/11/2022"/>
        </groupItems>
      </fieldGroup>
    </cacheField>
    <cacheField name="Criticality" numFmtId="0">
      <sharedItems count="3">
        <s v="High"/>
        <s v="Low"/>
        <s v="Medium"/>
      </sharedItems>
    </cacheField>
    <cacheField name="Finding Name" numFmtId="0">
      <sharedItems/>
    </cacheField>
    <cacheField name="Finding Description" numFmtId="0">
      <sharedItems longText="1"/>
    </cacheField>
    <cacheField name="Finding Owner" numFmtId="0">
      <sharedItems count="5">
        <s v="John"/>
        <s v="Phil"/>
        <s v="Sarah"/>
        <s v="Jenny"/>
        <s v="Sarah *LAST NAME REDACTED*" u="1"/>
      </sharedItems>
    </cacheField>
    <cacheField name="Overall Status" numFmtId="0">
      <sharedItems count="3">
        <s v="Approved - Pending Resolution"/>
        <s v="Pending Verification"/>
        <s v="Closed"/>
      </sharedItems>
    </cacheField>
    <cacheField name="Source" numFmtId="0">
      <sharedItems/>
    </cacheField>
    <cacheField name="Days Open" numFmtId="0">
      <sharedItems containsSemiMixedTypes="0" containsString="0" containsNumber="1" containsInteger="1" minValue="-54" maxValue="302"/>
    </cacheField>
    <cacheField name="Remediation Plan ID" numFmtId="0">
      <sharedItems/>
    </cacheField>
    <cacheField name="Remediation Plan Name" numFmtId="0">
      <sharedItems/>
    </cacheField>
    <cacheField name="Remediation Plan Summary" numFmtId="0">
      <sharedItems longText="1"/>
    </cacheField>
    <cacheField name="Tech Dependency" numFmtId="0">
      <sharedItems count="2">
        <s v="No - not website related"/>
        <s v="Yes - website related"/>
      </sharedItems>
    </cacheField>
    <cacheField name="Redmediation Close Date" numFmtId="164">
      <sharedItems containsDate="1" containsMixedTypes="1" minDate="2021-01-24T00:00:00" maxDate="2022-03-14T00:00:00"/>
    </cacheField>
    <cacheField name="Remediation Status" numFmtId="0">
      <sharedItems/>
    </cacheField>
    <cacheField name="Original Plan Date" numFmtId="164">
      <sharedItems/>
    </cacheField>
    <cacheField name="Current Plan Date" numFmtId="164">
      <sharedItems/>
    </cacheField>
    <cacheField name="Original Commitment Date" numFmtId="164">
      <sharedItems containsSemiMixedTypes="0" containsNonDate="0" containsDate="1" containsString="0" minDate="2021-01-24T00:00:00" maxDate="2023-02-18T00:00:00"/>
    </cacheField>
    <cacheField name="Current Commitment Date" numFmtId="164">
      <sharedItems containsSemiMixedTypes="0" containsNonDate="0" containsDate="1" containsString="0" minDate="2021-01-24T00:00:00" maxDate="2023-02-18T00:00:00"/>
    </cacheField>
    <cacheField name="Retarget Counter" numFmtId="0">
      <sharedItems containsSemiMixedTypes="0" containsString="0" containsNumber="1" containsInteger="1" minValue="0" maxValue="26" count="14">
        <n v="0"/>
        <n v="18"/>
        <n v="20"/>
        <n v="12"/>
        <n v="19"/>
        <n v="24"/>
        <n v="17"/>
        <n v="13"/>
        <n v="15"/>
        <n v="23"/>
        <n v="22"/>
        <n v="16"/>
        <n v="26"/>
        <n v="14"/>
      </sharedItems>
    </cacheField>
    <cacheField name="Fraud Dependency" numFmtId="0">
      <sharedItems count="2">
        <s v="No"/>
        <s v="Yes"/>
      </sharedItems>
    </cacheField>
    <cacheField name="Plan Status" numFmtId="0">
      <sharedItems count="3">
        <s v="Green"/>
        <s v="Yellow"/>
        <s v="Red"/>
      </sharedItems>
    </cacheField>
    <cacheField name="Years" numFmtId="0" databaseField="0">
      <fieldGroup base="0">
        <rangePr groupBy="years" startDate="2021-01-01T00:00:00" endDate="2022-02-11T00:00:00"/>
        <groupItems count="4">
          <s v="&lt;1/1/2021"/>
          <s v="2021"/>
          <s v="2022"/>
          <s v="&gt;2/11/2022"/>
        </groupItems>
      </fieldGroup>
    </cacheField>
  </cacheFields>
  <extLst>
    <ext xmlns:x14="http://schemas.microsoft.com/office/spreadsheetml/2009/9/main" uri="{725AE2AE-9491-48be-B2B4-4EB974FC3084}">
      <x14:pivotCacheDefinition pivotCacheId="3"/>
    </ext>
  </extLst>
</pivotCacheDefinition>
</file>

<file path=xl/pivotCache/pivotCacheRecords1.xml><?xml version="1.0" encoding="utf-8"?>
<pivotCacheRecords xmlns="http://schemas.openxmlformats.org/spreadsheetml/2006/main" xmlns:r="http://schemas.openxmlformats.org/officeDocument/2006/relationships" count="120">
  <r>
    <x v="0"/>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0"/>
    <s v="Word of Mouth"/>
    <n v="21"/>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1-24T00:00:00"/>
    <s v="Closed"/>
    <s v="N/A"/>
    <s v="N/A"/>
    <d v="2021-01-24T00:00:00"/>
    <d v="2021-01-24T00:00:00"/>
    <x v="0"/>
    <x v="0"/>
    <x v="0"/>
  </r>
  <r>
    <x v="1"/>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1"/>
    <s v="Google Reviews"/>
    <n v="2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1-24T00:00:00"/>
    <s v="Closed"/>
    <s v="N/A"/>
    <s v="N/A"/>
    <d v="2021-01-24T00:00:00"/>
    <d v="2021-01-24T00:00:00"/>
    <x v="0"/>
    <x v="1"/>
    <x v="0"/>
  </r>
  <r>
    <x v="2"/>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0"/>
    <s v="Word of Mouth"/>
    <n v="65"/>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2-01-15T00:00:00"/>
    <s v="Closed"/>
    <s v="N/A"/>
    <s v="N/A"/>
    <d v="2022-01-09T00:00:00"/>
    <d v="2022-01-27T00:00:00"/>
    <x v="1"/>
    <x v="0"/>
    <x v="1"/>
  </r>
  <r>
    <x v="3"/>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2"/>
    <s v="Yelp"/>
    <n v="2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7-06T00:00:00"/>
    <s v="Closed"/>
    <s v="N/A"/>
    <s v="N/A"/>
    <d v="2021-07-07T00:00:00"/>
    <d v="2021-07-07T00:00:00"/>
    <x v="0"/>
    <x v="0"/>
    <x v="2"/>
  </r>
  <r>
    <x v="4"/>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1"/>
    <s v="Google Reviews"/>
    <n v="297"/>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s v="N/A"/>
    <s v="Open"/>
    <s v="N/A"/>
    <s v="N/A"/>
    <d v="2021-02-10T00:00:00"/>
    <d v="2021-02-10T00:00:00"/>
    <x v="0"/>
    <x v="0"/>
    <x v="0"/>
  </r>
  <r>
    <x v="5"/>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29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s v="N/A"/>
    <s v="Open"/>
    <s v="N/A"/>
    <s v="N/A"/>
    <d v="2021-02-25T00:00:00"/>
    <d v="2021-02-25T00:00:00"/>
    <x v="0"/>
    <x v="0"/>
    <x v="2"/>
  </r>
  <r>
    <x v="6"/>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2"/>
    <s v="Yelp"/>
    <n v="74"/>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2-01-23T00:00:00"/>
    <s v="Closed"/>
    <s v="N/A"/>
    <s v="N/A"/>
    <d v="2022-01-11T00:00:00"/>
    <d v="2022-01-31T00:00:00"/>
    <x v="2"/>
    <x v="1"/>
    <x v="2"/>
  </r>
  <r>
    <x v="7"/>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0"/>
    <s v="Word of Mouth"/>
    <n v="265"/>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s v="N/A"/>
    <s v="Open"/>
    <s v="N/A"/>
    <s v="N/A"/>
    <d v="2021-03-21T00:00:00"/>
    <d v="2021-03-21T00:00:00"/>
    <x v="0"/>
    <x v="0"/>
    <x v="1"/>
  </r>
  <r>
    <x v="8"/>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1"/>
    <s v="Google Reviews"/>
    <n v="24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s v="N/A"/>
    <s v="Open"/>
    <s v="N/A"/>
    <s v="N/A"/>
    <d v="2021-04-09T00:00:00"/>
    <d v="2021-04-09T00:00:00"/>
    <x v="0"/>
    <x v="0"/>
    <x v="0"/>
  </r>
  <r>
    <x v="9"/>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61"/>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11-05T00:00:00"/>
    <s v="Closed"/>
    <s v="N/A"/>
    <s v="N/A"/>
    <d v="2021-11-12T00:00:00"/>
    <d v="2021-11-12T00:00:00"/>
    <x v="0"/>
    <x v="1"/>
    <x v="2"/>
  </r>
  <r>
    <x v="10"/>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7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10-21T00:00:00"/>
    <s v="Closed"/>
    <s v="N/A"/>
    <s v="N/A"/>
    <d v="2021-10-29T00:00:00"/>
    <d v="2021-10-29T00:00:00"/>
    <x v="0"/>
    <x v="0"/>
    <x v="2"/>
  </r>
  <r>
    <x v="11"/>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0"/>
    <s v="Word of Mouth"/>
    <n v="36"/>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3-13T00:00:00"/>
    <s v="Closed"/>
    <s v="N/A"/>
    <s v="N/A"/>
    <d v="2021-03-27T00:00:00"/>
    <d v="2021-03-27T00:00:00"/>
    <x v="0"/>
    <x v="1"/>
    <x v="1"/>
  </r>
  <r>
    <x v="12"/>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1"/>
    <s v="Google Reviews"/>
    <n v="22"/>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2-01-06T00:00:00"/>
    <s v="Closed"/>
    <s v="N/A"/>
    <s v="N/A"/>
    <d v="2022-01-12T00:00:00"/>
    <d v="2022-01-12T00:00:00"/>
    <x v="0"/>
    <x v="1"/>
    <x v="0"/>
  </r>
  <r>
    <x v="13"/>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0"/>
    <s v="Word of Mouth"/>
    <n v="25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s v="N/A"/>
    <s v="Open"/>
    <s v="N/A"/>
    <s v="N/A"/>
    <d v="2021-03-31T00:00:00"/>
    <d v="2021-03-31T00:00:00"/>
    <x v="0"/>
    <x v="1"/>
    <x v="1"/>
  </r>
  <r>
    <x v="14"/>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0"/>
    <s v="Word of Mouth"/>
    <n v="106"/>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s v="N/A"/>
    <s v="Open"/>
    <s v="N/A"/>
    <s v="N/A"/>
    <d v="2021-08-24T00:00:00"/>
    <d v="2021-08-24T00:00:00"/>
    <x v="0"/>
    <x v="1"/>
    <x v="1"/>
  </r>
  <r>
    <x v="15"/>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62"/>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10-25T00:00:00"/>
    <s v="Closed"/>
    <s v="N/A"/>
    <s v="N/A"/>
    <d v="2021-11-04T00:00:00"/>
    <d v="2021-11-04T00:00:00"/>
    <x v="0"/>
    <x v="1"/>
    <x v="2"/>
  </r>
  <r>
    <x v="16"/>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1"/>
    <s v="Google Reviews"/>
    <n v="6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9-19T00:00:00"/>
    <s v="Closed"/>
    <s v="N/A"/>
    <s v="N/A"/>
    <d v="2021-09-25T00:00:00"/>
    <d v="2021-09-25T00:00:00"/>
    <x v="0"/>
    <x v="0"/>
    <x v="0"/>
  </r>
  <r>
    <x v="17"/>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2"/>
    <s v="Yelp"/>
    <n v="47"/>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12-24T00:00:00"/>
    <s v="Closed"/>
    <s v="N/A"/>
    <s v="N/A"/>
    <d v="2022-01-03T00:00:00"/>
    <d v="2022-01-03T00:00:00"/>
    <x v="0"/>
    <x v="1"/>
    <x v="2"/>
  </r>
  <r>
    <x v="18"/>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2"/>
    <s v="Yelp"/>
    <n v="64"/>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3-28T00:00:00"/>
    <s v="Closed"/>
    <s v="N/A"/>
    <s v="N/A"/>
    <d v="2021-03-29T00:00:00"/>
    <d v="2021-03-29T00:00:00"/>
    <x v="0"/>
    <x v="0"/>
    <x v="2"/>
  </r>
  <r>
    <x v="19"/>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0"/>
    <s v="Word of Mouth"/>
    <n v="71"/>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10-14T00:00:00"/>
    <s v="Closed"/>
    <s v="N/A"/>
    <s v="N/A"/>
    <d v="2021-10-26T00:00:00"/>
    <d v="2021-10-26T00:00:00"/>
    <x v="0"/>
    <x v="0"/>
    <x v="1"/>
  </r>
  <r>
    <x v="8"/>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1"/>
    <s v="Google Reviews"/>
    <n v="22"/>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3-24T00:00:00"/>
    <s v="Closed"/>
    <s v="N/A"/>
    <s v="N/A"/>
    <d v="2021-04-06T00:00:00"/>
    <d v="2021-04-06T00:00:00"/>
    <x v="0"/>
    <x v="0"/>
    <x v="0"/>
  </r>
  <r>
    <x v="20"/>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2"/>
    <s v="Yelp"/>
    <n v="3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7-31T00:00:00"/>
    <s v="Closed"/>
    <s v="N/A"/>
    <s v="N/A"/>
    <d v="2021-07-27T00:00:00"/>
    <d v="2021-08-08T00:00:00"/>
    <x v="3"/>
    <x v="1"/>
    <x v="2"/>
  </r>
  <r>
    <x v="21"/>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0"/>
    <s v="Word of Mouth"/>
    <n v="38"/>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5-29T00:00:00"/>
    <s v="Closed"/>
    <s v="N/A"/>
    <s v="N/A"/>
    <d v="2021-06-03T00:00:00"/>
    <d v="2021-06-03T00:00:00"/>
    <x v="0"/>
    <x v="1"/>
    <x v="1"/>
  </r>
  <r>
    <x v="22"/>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1"/>
    <s v="Google Reviews"/>
    <n v="7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8-09T00:00:00"/>
    <s v="Closed"/>
    <s v="N/A"/>
    <s v="N/A"/>
    <d v="2021-08-10T00:00:00"/>
    <d v="2021-08-10T00:00:00"/>
    <x v="0"/>
    <x v="0"/>
    <x v="0"/>
  </r>
  <r>
    <x v="23"/>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1"/>
    <s v="Google Reviews"/>
    <n v="5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2-02-15T00:00:00"/>
    <s v="Closed"/>
    <s v="N/A"/>
    <s v="N/A"/>
    <d v="2022-02-24T00:00:00"/>
    <d v="2022-02-24T00:00:00"/>
    <x v="0"/>
    <x v="1"/>
    <x v="0"/>
  </r>
  <r>
    <x v="24"/>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1"/>
    <s v="Google Reviews"/>
    <n v="87"/>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s v="N/A"/>
    <s v="Open"/>
    <s v="N/A"/>
    <s v="N/A"/>
    <d v="2021-09-15T00:00:00"/>
    <d v="2021-09-15T00:00:00"/>
    <x v="0"/>
    <x v="1"/>
    <x v="0"/>
  </r>
  <r>
    <x v="25"/>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1"/>
    <s v="Google Reviews"/>
    <n v="44"/>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3-01T00:00:00"/>
    <s v="Closed"/>
    <s v="N/A"/>
    <s v="N/A"/>
    <d v="2021-02-21T00:00:00"/>
    <d v="2021-03-12T00:00:00"/>
    <x v="4"/>
    <x v="1"/>
    <x v="0"/>
  </r>
  <r>
    <x v="26"/>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2"/>
    <s v="Yelp"/>
    <n v="72"/>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11-10T00:00:00"/>
    <s v="Closed"/>
    <s v="N/A"/>
    <s v="N/A"/>
    <d v="2021-11-25T00:00:00"/>
    <d v="2021-11-25T00:00:00"/>
    <x v="0"/>
    <x v="1"/>
    <x v="2"/>
  </r>
  <r>
    <x v="27"/>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0"/>
    <s v="Word of Mouth"/>
    <n v="2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2-25T00:00:00"/>
    <s v="Closed"/>
    <s v="N/A"/>
    <s v="N/A"/>
    <d v="2021-03-05T00:00:00"/>
    <d v="2021-03-05T00:00:00"/>
    <x v="0"/>
    <x v="0"/>
    <x v="1"/>
  </r>
  <r>
    <x v="28"/>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41"/>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8-05T00:00:00"/>
    <s v="Closed"/>
    <s v="N/A"/>
    <s v="N/A"/>
    <d v="2021-07-22T00:00:00"/>
    <d v="2021-08-15T00:00:00"/>
    <x v="5"/>
    <x v="0"/>
    <x v="2"/>
  </r>
  <r>
    <x v="29"/>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2"/>
    <s v="Yelp"/>
    <n v="272"/>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s v="N/A"/>
    <s v="Open"/>
    <s v="N/A"/>
    <s v="N/A"/>
    <d v="2021-03-18T00:00:00"/>
    <d v="2021-03-18T00:00:00"/>
    <x v="0"/>
    <x v="0"/>
    <x v="2"/>
  </r>
  <r>
    <x v="30"/>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1"/>
    <s v="Google Reviews"/>
    <n v="6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12-21T00:00:00"/>
    <s v="Closed"/>
    <s v="N/A"/>
    <s v="N/A"/>
    <d v="2022-01-01T00:00:00"/>
    <d v="2022-01-01T00:00:00"/>
    <x v="0"/>
    <x v="0"/>
    <x v="0"/>
  </r>
  <r>
    <x v="31"/>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2"/>
    <s v="Yelp"/>
    <n v="35"/>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4-16T00:00:00"/>
    <s v="Closed"/>
    <s v="N/A"/>
    <s v="N/A"/>
    <d v="2021-04-28T00:00:00"/>
    <d v="2021-04-28T00:00:00"/>
    <x v="0"/>
    <x v="0"/>
    <x v="2"/>
  </r>
  <r>
    <x v="32"/>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0"/>
    <s v="Word of Mouth"/>
    <n v="62"/>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2-01-30T00:00:00"/>
    <s v="Closed"/>
    <s v="N/A"/>
    <s v="N/A"/>
    <d v="2022-01-21T00:00:00"/>
    <d v="2022-02-07T00:00:00"/>
    <x v="6"/>
    <x v="1"/>
    <x v="1"/>
  </r>
  <r>
    <x v="33"/>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1"/>
    <s v="Google Reviews"/>
    <n v="8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7-11T00:00:00"/>
    <s v="Closed"/>
    <s v="N/A"/>
    <s v="N/A"/>
    <d v="2021-07-09T00:00:00"/>
    <d v="2021-07-21T00:00:00"/>
    <x v="3"/>
    <x v="1"/>
    <x v="0"/>
  </r>
  <r>
    <x v="10"/>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46"/>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9-27T00:00:00"/>
    <s v="Closed"/>
    <s v="N/A"/>
    <s v="N/A"/>
    <d v="2021-09-26T00:00:00"/>
    <d v="2021-10-09T00:00:00"/>
    <x v="7"/>
    <x v="1"/>
    <x v="2"/>
  </r>
  <r>
    <x v="34"/>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2"/>
    <s v="Yelp"/>
    <n v="3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9-14T00:00:00"/>
    <s v="Closed"/>
    <s v="N/A"/>
    <s v="N/A"/>
    <d v="2021-09-25T00:00:00"/>
    <d v="2021-09-25T00:00:00"/>
    <x v="0"/>
    <x v="1"/>
    <x v="2"/>
  </r>
  <r>
    <x v="35"/>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1"/>
    <s v="Google Reviews"/>
    <n v="67"/>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11-04T00:00:00"/>
    <s v="Closed"/>
    <s v="N/A"/>
    <s v="N/A"/>
    <d v="2021-11-12T00:00:00"/>
    <d v="2021-11-12T00:00:00"/>
    <x v="0"/>
    <x v="1"/>
    <x v="0"/>
  </r>
  <r>
    <x v="36"/>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2"/>
    <s v="Yelp"/>
    <n v="21"/>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6-28T00:00:00"/>
    <s v="Closed"/>
    <s v="N/A"/>
    <s v="N/A"/>
    <d v="2021-06-17T00:00:00"/>
    <d v="2021-07-07T00:00:00"/>
    <x v="2"/>
    <x v="0"/>
    <x v="2"/>
  </r>
  <r>
    <x v="37"/>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2"/>
    <s v="Yelp"/>
    <n v="4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6-17T00:00:00"/>
    <s v="Closed"/>
    <s v="N/A"/>
    <s v="N/A"/>
    <d v="2021-06-19T00:00:00"/>
    <d v="2021-06-19T00:00:00"/>
    <x v="0"/>
    <x v="1"/>
    <x v="2"/>
  </r>
  <r>
    <x v="38"/>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2"/>
    <s v="Yelp"/>
    <n v="48"/>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3-18T00:00:00"/>
    <s v="Closed"/>
    <s v="N/A"/>
    <s v="N/A"/>
    <d v="2021-03-25T00:00:00"/>
    <d v="2021-03-25T00:00:00"/>
    <x v="0"/>
    <x v="1"/>
    <x v="2"/>
  </r>
  <r>
    <x v="39"/>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1"/>
    <s v="Google Reviews"/>
    <n v="4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2-01-27T00:00:00"/>
    <s v="Closed"/>
    <s v="N/A"/>
    <s v="N/A"/>
    <d v="2022-01-22T00:00:00"/>
    <d v="2022-02-06T00:00:00"/>
    <x v="8"/>
    <x v="1"/>
    <x v="0"/>
  </r>
  <r>
    <x v="40"/>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2"/>
    <s v="Yelp"/>
    <n v="5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7-15T00:00:00"/>
    <s v="Closed"/>
    <s v="N/A"/>
    <s v="N/A"/>
    <d v="2021-07-05T00:00:00"/>
    <d v="2021-07-23T00:00:00"/>
    <x v="1"/>
    <x v="1"/>
    <x v="2"/>
  </r>
  <r>
    <x v="41"/>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0"/>
    <s v="Word of Mouth"/>
    <n v="2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2-04T00:00:00"/>
    <s v="Closed"/>
    <s v="N/A"/>
    <s v="N/A"/>
    <d v="2021-01-30T00:00:00"/>
    <d v="2021-02-11T00:00:00"/>
    <x v="3"/>
    <x v="0"/>
    <x v="1"/>
  </r>
  <r>
    <x v="42"/>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2"/>
    <s v="Yelp"/>
    <n v="36"/>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2-22T00:00:00"/>
    <s v="Closed"/>
    <s v="N/A"/>
    <s v="N/A"/>
    <d v="2021-02-11T00:00:00"/>
    <d v="2021-03-06T00:00:00"/>
    <x v="9"/>
    <x v="0"/>
    <x v="2"/>
  </r>
  <r>
    <x v="43"/>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1"/>
    <s v="Google Reviews"/>
    <n v="2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2-23T00:00:00"/>
    <s v="Closed"/>
    <s v="N/A"/>
    <s v="N/A"/>
    <d v="2021-02-19T00:00:00"/>
    <d v="2021-03-03T00:00:00"/>
    <x v="3"/>
    <x v="0"/>
    <x v="0"/>
  </r>
  <r>
    <x v="44"/>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1"/>
    <s v="Google Reviews"/>
    <n v="3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7-12T00:00:00"/>
    <s v="Closed"/>
    <s v="N/A"/>
    <s v="N/A"/>
    <d v="2021-07-19T00:00:00"/>
    <d v="2021-07-19T00:00:00"/>
    <x v="0"/>
    <x v="1"/>
    <x v="0"/>
  </r>
  <r>
    <x v="45"/>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65"/>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4-19T00:00:00"/>
    <s v="Closed"/>
    <s v="N/A"/>
    <s v="N/A"/>
    <d v="2021-05-02T00:00:00"/>
    <d v="2021-05-02T00:00:00"/>
    <x v="0"/>
    <x v="0"/>
    <x v="2"/>
  </r>
  <r>
    <x v="46"/>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1"/>
    <s v="Google Reviews"/>
    <n v="2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12-17T00:00:00"/>
    <s v="Closed"/>
    <s v="N/A"/>
    <s v="N/A"/>
    <d v="2021-12-30T00:00:00"/>
    <d v="2021-12-30T00:00:00"/>
    <x v="0"/>
    <x v="1"/>
    <x v="0"/>
  </r>
  <r>
    <x v="47"/>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2"/>
    <s v="Yelp"/>
    <n v="75"/>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2-03-13T00:00:00"/>
    <s v="Closed"/>
    <s v="N/A"/>
    <s v="N/A"/>
    <d v="2022-03-16T00:00:00"/>
    <d v="2022-03-16T00:00:00"/>
    <x v="0"/>
    <x v="0"/>
    <x v="2"/>
  </r>
  <r>
    <x v="48"/>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2"/>
    <s v="Yelp"/>
    <n v="35"/>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s v="N/A"/>
    <s v="Open"/>
    <s v="N/A"/>
    <s v="N/A"/>
    <d v="2021-10-31T00:00:00"/>
    <d v="2021-10-31T00:00:00"/>
    <x v="0"/>
    <x v="0"/>
    <x v="2"/>
  </r>
  <r>
    <x v="49"/>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1"/>
    <s v="Google Reviews"/>
    <n v="41"/>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7-11T00:00:00"/>
    <s v="Closed"/>
    <s v="N/A"/>
    <s v="N/A"/>
    <d v="2021-07-14T00:00:00"/>
    <d v="2021-07-14T00:00:00"/>
    <x v="0"/>
    <x v="0"/>
    <x v="0"/>
  </r>
  <r>
    <x v="33"/>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1"/>
    <s v="Google Reviews"/>
    <n v="5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6-11T00:00:00"/>
    <s v="Closed"/>
    <s v="N/A"/>
    <s v="N/A"/>
    <d v="2021-06-17T00:00:00"/>
    <d v="2021-06-17T00:00:00"/>
    <x v="0"/>
    <x v="0"/>
    <x v="0"/>
  </r>
  <r>
    <x v="50"/>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37"/>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11-29T00:00:00"/>
    <s v="Closed"/>
    <s v="N/A"/>
    <s v="N/A"/>
    <d v="2021-12-01T00:00:00"/>
    <d v="2021-12-01T00:00:00"/>
    <x v="0"/>
    <x v="1"/>
    <x v="2"/>
  </r>
  <r>
    <x v="29"/>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2"/>
    <s v="Yelp"/>
    <n v="52"/>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3-31T00:00:00"/>
    <s v="Closed"/>
    <s v="N/A"/>
    <s v="N/A"/>
    <d v="2021-04-05T00:00:00"/>
    <d v="2021-04-05T00:00:00"/>
    <x v="0"/>
    <x v="0"/>
    <x v="2"/>
  </r>
  <r>
    <x v="51"/>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0"/>
    <s v="Word of Mouth"/>
    <n v="6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5-15T00:00:00"/>
    <s v="Closed"/>
    <s v="N/A"/>
    <s v="N/A"/>
    <d v="2021-05-02T00:00:00"/>
    <d v="2021-05-24T00:00:00"/>
    <x v="10"/>
    <x v="1"/>
    <x v="1"/>
  </r>
  <r>
    <x v="4"/>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1"/>
    <s v="Google Reviews"/>
    <n v="2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2-05T00:00:00"/>
    <s v="Closed"/>
    <s v="N/A"/>
    <s v="N/A"/>
    <d v="2021-02-15T00:00:00"/>
    <d v="2021-02-15T00:00:00"/>
    <x v="0"/>
    <x v="1"/>
    <x v="0"/>
  </r>
  <r>
    <x v="34"/>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2"/>
    <s v="Yelp"/>
    <n v="2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8-26T00:00:00"/>
    <s v="Closed"/>
    <s v="N/A"/>
    <s v="N/A"/>
    <d v="2021-08-26T00:00:00"/>
    <d v="2021-08-26T00:00:00"/>
    <x v="0"/>
    <x v="0"/>
    <x v="2"/>
  </r>
  <r>
    <x v="52"/>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74"/>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4-16T00:00:00"/>
    <s v="Closed"/>
    <s v="N/A"/>
    <s v="N/A"/>
    <d v="2021-04-26T00:00:00"/>
    <d v="2021-04-26T00:00:00"/>
    <x v="0"/>
    <x v="0"/>
    <x v="2"/>
  </r>
  <r>
    <x v="53"/>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0"/>
    <s v="Word of Mouth"/>
    <n v="7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s v="N/A"/>
    <s v="Open"/>
    <s v="N/A"/>
    <s v="N/A"/>
    <d v="2021-09-20T00:00:00"/>
    <d v="2021-09-20T00:00:00"/>
    <x v="0"/>
    <x v="0"/>
    <x v="1"/>
  </r>
  <r>
    <x v="32"/>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0"/>
    <s v="Word of Mouth"/>
    <n v="66"/>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2-02-03T00:00:00"/>
    <s v="Closed"/>
    <s v="N/A"/>
    <s v="N/A"/>
    <d v="2022-02-11T00:00:00"/>
    <d v="2022-02-11T00:00:00"/>
    <x v="0"/>
    <x v="1"/>
    <x v="1"/>
  </r>
  <r>
    <x v="54"/>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0"/>
    <s v="Word of Mouth"/>
    <n v="38"/>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2-01-09T00:00:00"/>
    <s v="Closed"/>
    <s v="N/A"/>
    <s v="N/A"/>
    <d v="2022-01-10T00:00:00"/>
    <d v="2022-01-10T00:00:00"/>
    <x v="0"/>
    <x v="0"/>
    <x v="1"/>
  </r>
  <r>
    <x v="55"/>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0"/>
    <s v="Word of Mouth"/>
    <n v="4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2-02-13T00:00:00"/>
    <s v="Closed"/>
    <s v="N/A"/>
    <s v="N/A"/>
    <d v="2022-02-19T00:00:00"/>
    <d v="2022-02-19T00:00:00"/>
    <x v="0"/>
    <x v="1"/>
    <x v="1"/>
  </r>
  <r>
    <x v="56"/>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1"/>
    <s v="Google Reviews"/>
    <n v="6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s v="N/A"/>
    <s v="Open"/>
    <s v="N/A"/>
    <s v="N/A"/>
    <d v="2021-10-12T00:00:00"/>
    <d v="2021-10-12T00:00:00"/>
    <x v="0"/>
    <x v="0"/>
    <x v="0"/>
  </r>
  <r>
    <x v="57"/>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0"/>
    <s v="Word of Mouth"/>
    <n v="31"/>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5-10T00:00:00"/>
    <s v="Closed"/>
    <s v="N/A"/>
    <s v="N/A"/>
    <d v="2021-05-08T00:00:00"/>
    <d v="2021-05-21T00:00:00"/>
    <x v="7"/>
    <x v="1"/>
    <x v="1"/>
  </r>
  <r>
    <x v="58"/>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68"/>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6-09T00:00:00"/>
    <s v="Closed"/>
    <s v="N/A"/>
    <s v="N/A"/>
    <d v="2021-06-19T00:00:00"/>
    <d v="2021-06-19T00:00:00"/>
    <x v="0"/>
    <x v="1"/>
    <x v="2"/>
  </r>
  <r>
    <x v="59"/>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2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4-01T00:00:00"/>
    <s v="Closed"/>
    <s v="N/A"/>
    <s v="N/A"/>
    <d v="2021-04-11T00:00:00"/>
    <d v="2021-04-11T00:00:00"/>
    <x v="0"/>
    <x v="1"/>
    <x v="2"/>
  </r>
  <r>
    <x v="60"/>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71"/>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2-03-03T00:00:00"/>
    <s v="Closed"/>
    <s v="N/A"/>
    <s v="N/A"/>
    <d v="2022-02-24T00:00:00"/>
    <d v="2022-03-12T00:00:00"/>
    <x v="11"/>
    <x v="1"/>
    <x v="2"/>
  </r>
  <r>
    <x v="61"/>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52"/>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2-01-19T00:00:00"/>
    <s v="Closed"/>
    <s v="N/A"/>
    <s v="N/A"/>
    <d v="2022-01-07T00:00:00"/>
    <d v="2022-01-30T00:00:00"/>
    <x v="9"/>
    <x v="0"/>
    <x v="2"/>
  </r>
  <r>
    <x v="62"/>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1"/>
    <s v="Google Reviews"/>
    <n v="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s v="N/A"/>
    <s v="Open"/>
    <s v="N/A"/>
    <s v="N/A"/>
    <d v="2021-12-16T00:00:00"/>
    <d v="2021-12-16T00:00:00"/>
    <x v="0"/>
    <x v="1"/>
    <x v="0"/>
  </r>
  <r>
    <x v="63"/>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2"/>
    <s v="Yelp"/>
    <n v="27"/>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10-17T00:00:00"/>
    <s v="Closed"/>
    <s v="N/A"/>
    <s v="N/A"/>
    <d v="2021-10-25T00:00:00"/>
    <d v="2021-10-25T00:00:00"/>
    <x v="0"/>
    <x v="0"/>
    <x v="2"/>
  </r>
  <r>
    <x v="64"/>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1"/>
    <s v="Google Reviews"/>
    <n v="177"/>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s v="N/A"/>
    <s v="Open"/>
    <s v="N/A"/>
    <s v="N/A"/>
    <d v="2021-06-02T00:00:00"/>
    <d v="2021-06-02T00:00:00"/>
    <x v="0"/>
    <x v="0"/>
    <x v="0"/>
  </r>
  <r>
    <x v="11"/>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0"/>
    <s v="Word of Mouth"/>
    <n v="3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3-07T00:00:00"/>
    <s v="Closed"/>
    <s v="N/A"/>
    <s v="N/A"/>
    <d v="2021-02-28T00:00:00"/>
    <d v="2021-03-17T00:00:00"/>
    <x v="6"/>
    <x v="1"/>
    <x v="1"/>
  </r>
  <r>
    <x v="65"/>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0"/>
    <s v="Word of Mouth"/>
    <n v="62"/>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10-17T00:00:00"/>
    <s v="Closed"/>
    <s v="N/A"/>
    <s v="N/A"/>
    <d v="2021-10-24T00:00:00"/>
    <d v="2021-10-24T00:00:00"/>
    <x v="0"/>
    <x v="1"/>
    <x v="1"/>
  </r>
  <r>
    <x v="66"/>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0"/>
    <s v="Word of Mouth"/>
    <n v="42"/>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8-07T00:00:00"/>
    <s v="Closed"/>
    <s v="N/A"/>
    <s v="N/A"/>
    <d v="2021-08-19T00:00:00"/>
    <d v="2021-08-19T00:00:00"/>
    <x v="0"/>
    <x v="1"/>
    <x v="1"/>
  </r>
  <r>
    <x v="67"/>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0"/>
    <s v="Word of Mouth"/>
    <n v="67"/>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s v="N/A"/>
    <s v="Open"/>
    <s v="N/A"/>
    <s v="N/A"/>
    <d v="2021-09-27T00:00:00"/>
    <d v="2021-09-27T00:00:00"/>
    <x v="0"/>
    <x v="1"/>
    <x v="1"/>
  </r>
  <r>
    <x v="68"/>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0"/>
    <s v="Word of Mouth"/>
    <n v="65"/>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9-08T00:00:00"/>
    <s v="Closed"/>
    <s v="N/A"/>
    <s v="N/A"/>
    <d v="2021-09-12T00:00:00"/>
    <d v="2021-09-12T00:00:00"/>
    <x v="0"/>
    <x v="0"/>
    <x v="1"/>
  </r>
  <r>
    <x v="18"/>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2"/>
    <s v="Yelp"/>
    <n v="44"/>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3-08T00:00:00"/>
    <s v="Closed"/>
    <s v="N/A"/>
    <s v="N/A"/>
    <d v="2021-03-22T00:00:00"/>
    <d v="2021-03-22T00:00:00"/>
    <x v="0"/>
    <x v="1"/>
    <x v="2"/>
  </r>
  <r>
    <x v="55"/>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0"/>
    <s v="Word of Mouth"/>
    <n v="5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2-02-23T00:00:00"/>
    <s v="Closed"/>
    <s v="N/A"/>
    <s v="N/A"/>
    <d v="2022-02-16T00:00:00"/>
    <d v="2022-03-03T00:00:00"/>
    <x v="8"/>
    <x v="1"/>
    <x v="1"/>
  </r>
  <r>
    <x v="69"/>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1"/>
    <s v="Google Reviews"/>
    <n v="228"/>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s v="N/A"/>
    <s v="Open"/>
    <s v="N/A"/>
    <s v="N/A"/>
    <d v="2021-04-30T00:00:00"/>
    <d v="2021-04-30T00:00:00"/>
    <x v="0"/>
    <x v="1"/>
    <x v="0"/>
  </r>
  <r>
    <x v="70"/>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2"/>
    <s v="Yelp"/>
    <n v="167"/>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s v="N/A"/>
    <s v="Open"/>
    <s v="N/A"/>
    <s v="N/A"/>
    <d v="2021-07-01T00:00:00"/>
    <d v="2021-07-01T00:00:00"/>
    <x v="0"/>
    <x v="0"/>
    <x v="2"/>
  </r>
  <r>
    <x v="47"/>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2"/>
    <s v="Yelp"/>
    <n v="48"/>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2-02-14T00:00:00"/>
    <s v="Closed"/>
    <s v="N/A"/>
    <s v="N/A"/>
    <d v="2022-02-21T00:00:00"/>
    <d v="2022-02-21T00:00:00"/>
    <x v="0"/>
    <x v="0"/>
    <x v="2"/>
  </r>
  <r>
    <x v="71"/>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1"/>
    <s v="Google Reviews"/>
    <n v="65"/>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6-08T00:00:00"/>
    <s v="Closed"/>
    <s v="N/A"/>
    <s v="N/A"/>
    <d v="2021-06-14T00:00:00"/>
    <d v="2021-06-14T00:00:00"/>
    <x v="0"/>
    <x v="0"/>
    <x v="0"/>
  </r>
  <r>
    <x v="72"/>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2"/>
    <s v="Yelp"/>
    <n v="28"/>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4-15T00:00:00"/>
    <s v="Closed"/>
    <s v="N/A"/>
    <s v="N/A"/>
    <d v="2021-04-29T00:00:00"/>
    <d v="2021-04-29T00:00:00"/>
    <x v="0"/>
    <x v="0"/>
    <x v="2"/>
  </r>
  <r>
    <x v="73"/>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0"/>
    <s v="Word of Mouth"/>
    <n v="45"/>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5-18T00:00:00"/>
    <s v="Closed"/>
    <s v="N/A"/>
    <s v="N/A"/>
    <d v="2021-05-30T00:00:00"/>
    <d v="2021-05-30T00:00:00"/>
    <x v="0"/>
    <x v="1"/>
    <x v="1"/>
  </r>
  <r>
    <x v="74"/>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2"/>
    <s v="Yelp"/>
    <n v="24"/>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8-03T00:00:00"/>
    <s v="Closed"/>
    <s v="N/A"/>
    <s v="N/A"/>
    <d v="2021-08-10T00:00:00"/>
    <d v="2021-08-10T00:00:00"/>
    <x v="0"/>
    <x v="0"/>
    <x v="2"/>
  </r>
  <r>
    <x v="66"/>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0"/>
    <s v="Word of Mouth"/>
    <n v="21"/>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7-17T00:00:00"/>
    <s v="Closed"/>
    <s v="N/A"/>
    <s v="N/A"/>
    <d v="2021-07-25T00:00:00"/>
    <d v="2021-07-25T00:00:00"/>
    <x v="0"/>
    <x v="1"/>
    <x v="1"/>
  </r>
  <r>
    <x v="75"/>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2"/>
    <s v="Yelp"/>
    <n v="46"/>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7-26T00:00:00"/>
    <s v="Closed"/>
    <s v="N/A"/>
    <s v="N/A"/>
    <d v="2021-07-29T00:00:00"/>
    <d v="2021-07-29T00:00:00"/>
    <x v="0"/>
    <x v="0"/>
    <x v="2"/>
  </r>
  <r>
    <x v="76"/>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2"/>
    <s v="Yelp"/>
    <n v="75"/>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11-10T00:00:00"/>
    <s v="Closed"/>
    <s v="N/A"/>
    <s v="N/A"/>
    <d v="2021-11-23T00:00:00"/>
    <d v="2021-11-23T00:00:00"/>
    <x v="0"/>
    <x v="0"/>
    <x v="2"/>
  </r>
  <r>
    <x v="77"/>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0"/>
    <s v="Word of Mouth"/>
    <n v="6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8-16T00:00:00"/>
    <s v="Closed"/>
    <s v="N/A"/>
    <s v="N/A"/>
    <d v="2021-08-21T00:00:00"/>
    <d v="2021-08-21T00:00:00"/>
    <x v="0"/>
    <x v="0"/>
    <x v="1"/>
  </r>
  <r>
    <x v="78"/>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0"/>
    <s v="Word of Mouth"/>
    <n v="2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12-13T00:00:00"/>
    <s v="Closed"/>
    <s v="N/A"/>
    <s v="N/A"/>
    <d v="2021-12-08T00:00:00"/>
    <d v="2021-12-23T00:00:00"/>
    <x v="8"/>
    <x v="1"/>
    <x v="1"/>
  </r>
  <r>
    <x v="79"/>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0"/>
    <s v="Word of Mouth"/>
    <n v="38"/>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7-04T00:00:00"/>
    <s v="Closed"/>
    <s v="N/A"/>
    <s v="N/A"/>
    <d v="2021-07-13T00:00:00"/>
    <d v="2021-07-13T00:00:00"/>
    <x v="0"/>
    <x v="1"/>
    <x v="1"/>
  </r>
  <r>
    <x v="80"/>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2"/>
    <s v="Yelp"/>
    <n v="7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4-30T00:00:00"/>
    <s v="Closed"/>
    <s v="N/A"/>
    <s v="N/A"/>
    <d v="2021-04-22T00:00:00"/>
    <d v="2021-05-09T00:00:00"/>
    <x v="6"/>
    <x v="0"/>
    <x v="2"/>
  </r>
  <r>
    <x v="66"/>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0"/>
    <s v="Word of Mouth"/>
    <n v="6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08-25T00:00:00"/>
    <s v="Closed"/>
    <s v="N/A"/>
    <s v="N/A"/>
    <d v="2021-08-16T00:00:00"/>
    <d v="2021-09-03T00:00:00"/>
    <x v="1"/>
    <x v="1"/>
    <x v="1"/>
  </r>
  <r>
    <x v="6"/>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2"/>
    <s v="Yelp"/>
    <n v="-4"/>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s v="N/A"/>
    <s v="Open"/>
    <s v="N/A"/>
    <s v="N/A"/>
    <d v="2021-12-14T00:00:00"/>
    <d v="2021-12-14T00:00:00"/>
    <x v="0"/>
    <x v="1"/>
    <x v="2"/>
  </r>
  <r>
    <x v="81"/>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3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6-04T00:00:00"/>
    <s v="Closed"/>
    <s v="N/A"/>
    <s v="N/A"/>
    <d v="2021-06-15T00:00:00"/>
    <d v="2021-06-15T00:00:00"/>
    <x v="0"/>
    <x v="1"/>
    <x v="2"/>
  </r>
  <r>
    <x v="78"/>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0"/>
    <s v="Word of Mouth"/>
    <n v="6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2-01-28T00:00:00"/>
    <s v="Closed"/>
    <s v="N/A"/>
    <s v="N/A"/>
    <d v="2022-01-13T00:00:00"/>
    <d v="2022-02-08T00:00:00"/>
    <x v="12"/>
    <x v="1"/>
    <x v="1"/>
  </r>
  <r>
    <x v="82"/>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1"/>
    <s v="Google Reviews"/>
    <n v="5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6-17T00:00:00"/>
    <s v="Closed"/>
    <s v="N/A"/>
    <s v="N/A"/>
    <d v="2021-06-25T00:00:00"/>
    <d v="2021-06-25T00:00:00"/>
    <x v="0"/>
    <x v="1"/>
    <x v="0"/>
  </r>
  <r>
    <x v="83"/>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1"/>
    <s v="Google Reviews"/>
    <n v="21"/>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8-05T00:00:00"/>
    <s v="Closed"/>
    <s v="N/A"/>
    <s v="N/A"/>
    <d v="2021-08-17T00:00:00"/>
    <d v="2021-08-17T00:00:00"/>
    <x v="0"/>
    <x v="1"/>
    <x v="0"/>
  </r>
  <r>
    <x v="84"/>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0"/>
    <s v="Word of Mouth"/>
    <n v="72"/>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2-01-16T00:00:00"/>
    <s v="Closed"/>
    <s v="N/A"/>
    <s v="N/A"/>
    <d v="2022-01-18T00:00:00"/>
    <d v="2022-01-18T00:00:00"/>
    <x v="0"/>
    <x v="1"/>
    <x v="1"/>
  </r>
  <r>
    <x v="85"/>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1"/>
    <s v="Google Reviews"/>
    <n v="25"/>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3-15T00:00:00"/>
    <s v="Closed"/>
    <s v="N/A"/>
    <s v="N/A"/>
    <d v="2021-03-17T00:00:00"/>
    <d v="2021-03-17T00:00:00"/>
    <x v="0"/>
    <x v="1"/>
    <x v="0"/>
  </r>
  <r>
    <x v="86"/>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1"/>
    <s v="Google Reviews"/>
    <n v="-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s v="N/A"/>
    <s v="Open"/>
    <s v="N/A"/>
    <s v="N/A"/>
    <d v="2021-12-14T00:00:00"/>
    <d v="2021-12-14T00:00:00"/>
    <x v="0"/>
    <x v="1"/>
    <x v="0"/>
  </r>
  <r>
    <x v="9"/>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76"/>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11-20T00:00:00"/>
    <s v="Closed"/>
    <s v="N/A"/>
    <s v="N/A"/>
    <d v="2021-11-29T00:00:00"/>
    <d v="2021-11-29T00:00:00"/>
    <x v="0"/>
    <x v="1"/>
    <x v="2"/>
  </r>
  <r>
    <x v="87"/>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0"/>
    <x v="2"/>
    <s v="Yelp"/>
    <n v="54"/>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12-07T00:00:00"/>
    <s v="Closed"/>
    <s v="N/A"/>
    <s v="N/A"/>
    <d v="2021-11-26T00:00:00"/>
    <d v="2021-12-14T00:00:00"/>
    <x v="1"/>
    <x v="1"/>
    <x v="2"/>
  </r>
  <r>
    <x v="33"/>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1"/>
    <s v="Google Reviews"/>
    <n v="21"/>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5-13T00:00:00"/>
    <s v="Closed"/>
    <s v="N/A"/>
    <s v="N/A"/>
    <d v="2021-05-11T00:00:00"/>
    <d v="2021-05-24T00:00:00"/>
    <x v="7"/>
    <x v="1"/>
    <x v="0"/>
  </r>
  <r>
    <x v="9"/>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5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10-28T00:00:00"/>
    <s v="Closed"/>
    <s v="N/A"/>
    <s v="N/A"/>
    <d v="2021-11-09T00:00:00"/>
    <d v="2021-11-09T00:00:00"/>
    <x v="0"/>
    <x v="0"/>
    <x v="2"/>
  </r>
  <r>
    <x v="88"/>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0"/>
    <s v="Word of Mouth"/>
    <n v="40"/>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s v="N/A"/>
    <s v="Open"/>
    <s v="N/A"/>
    <s v="N/A"/>
    <d v="2021-10-27T00:00:00"/>
    <d v="2021-10-27T00:00:00"/>
    <x v="0"/>
    <x v="0"/>
    <x v="1"/>
  </r>
  <r>
    <x v="89"/>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1"/>
    <s v="Google Reviews"/>
    <n v="6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2-01-02T00:00:00"/>
    <s v="Closed"/>
    <s v="N/A"/>
    <s v="N/A"/>
    <d v="2021-12-24T00:00:00"/>
    <d v="2022-01-10T00:00:00"/>
    <x v="6"/>
    <x v="0"/>
    <x v="0"/>
  </r>
  <r>
    <x v="90"/>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0"/>
    <s v="Word of Mouth"/>
    <n v="27"/>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2-02-05T00:00:00"/>
    <s v="Closed"/>
    <s v="N/A"/>
    <s v="N/A"/>
    <d v="2022-10-13T00:00:00"/>
    <d v="2022-10-13T00:00:00"/>
    <x v="0"/>
    <x v="0"/>
    <x v="1"/>
  </r>
  <r>
    <x v="91"/>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2"/>
    <s v="Yelp"/>
    <n v="2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2-03-05T00:00:00"/>
    <s v="Closed"/>
    <s v="N/A"/>
    <s v="N/A"/>
    <d v="2023-02-17T00:00:00"/>
    <d v="2023-02-17T00:00:00"/>
    <x v="0"/>
    <x v="0"/>
    <x v="2"/>
  </r>
  <r>
    <x v="92"/>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1"/>
    <s v="Google Reviews"/>
    <n v="35"/>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4-09T00:00:00"/>
    <s v="Closed"/>
    <s v="N/A"/>
    <s v="N/A"/>
    <d v="2021-04-23T00:00:00"/>
    <d v="2021-04-23T00:00:00"/>
    <x v="0"/>
    <x v="1"/>
    <x v="0"/>
  </r>
  <r>
    <x v="32"/>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0"/>
    <s v="Word of Mouth"/>
    <n v="68"/>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2-02-05T00:00:00"/>
    <s v="Closed"/>
    <s v="N/A"/>
    <s v="N/A"/>
    <d v="2022-02-03T00:00:00"/>
    <d v="2022-02-16T00:00:00"/>
    <x v="7"/>
    <x v="1"/>
    <x v="1"/>
  </r>
  <r>
    <x v="93"/>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1"/>
    <s v="Google Reviews"/>
    <n v="54"/>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12-21T00:00:00"/>
    <s v="Closed"/>
    <s v="N/A"/>
    <s v="N/A"/>
    <d v="2021-12-19T00:00:00"/>
    <d v="2022-01-02T00:00:00"/>
    <x v="13"/>
    <x v="1"/>
    <x v="0"/>
  </r>
  <r>
    <x v="94"/>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0"/>
    <s v="Word of Mouth"/>
    <n v="7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11-21T00:00:00"/>
    <s v="Closed"/>
    <s v="N/A"/>
    <s v="N/A"/>
    <d v="2021-12-02T00:00:00"/>
    <d v="2021-12-02T00:00:00"/>
    <x v="0"/>
    <x v="1"/>
    <x v="1"/>
  </r>
  <r>
    <x v="95"/>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0"/>
    <s v="Word of Mouth"/>
    <n v="3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03-16T00:00:00"/>
    <s v="Closed"/>
    <s v="N/A"/>
    <s v="N/A"/>
    <d v="2021-03-25T00:00:00"/>
    <d v="2021-03-25T00:00:00"/>
    <x v="0"/>
    <x v="0"/>
    <x v="1"/>
  </r>
  <r>
    <x v="96"/>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1"/>
    <s v="Google Reviews"/>
    <n v="-54"/>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s v="N/A"/>
    <s v="Open"/>
    <s v="N/A"/>
    <s v="N/A"/>
    <d v="2022-01-30T00:00:00"/>
    <d v="2022-01-30T00:00:00"/>
    <x v="0"/>
    <x v="1"/>
    <x v="0"/>
  </r>
  <r>
    <x v="97"/>
    <x v="0"/>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0"/>
    <s v="Word of Mouth"/>
    <n v="69"/>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0"/>
    <d v="2021-10-18T00:00:00"/>
    <s v="Closed"/>
    <s v="N/A"/>
    <s v="N/A"/>
    <d v="2021-10-09T00:00:00"/>
    <d v="2021-10-26T00:00:00"/>
    <x v="6"/>
    <x v="0"/>
    <x v="1"/>
  </r>
  <r>
    <x v="98"/>
    <x v="1"/>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2"/>
    <x v="2"/>
    <s v="Yelp"/>
    <n v="302"/>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s v="N/A"/>
    <s v="Open"/>
    <s v="N/A"/>
    <s v="N/A"/>
    <d v="2021-02-11T00:00:00"/>
    <d v="2021-02-11T00:00:00"/>
    <x v="0"/>
    <x v="0"/>
    <x v="2"/>
  </r>
  <r>
    <x v="99"/>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3"/>
    <x v="1"/>
    <s v="Google Reviews"/>
    <n v="76"/>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12-04T00:00:00"/>
    <s v="Closed"/>
    <s v="N/A"/>
    <s v="N/A"/>
    <d v="2021-12-10T00:00:00"/>
    <d v="2021-12-10T00:00:00"/>
    <x v="0"/>
    <x v="0"/>
    <x v="0"/>
  </r>
  <r>
    <x v="35"/>
    <x v="2"/>
    <s v="Client Dissatisfaction over representative Sandra"/>
    <s v="On January 7th, 2021, customer ***NAME REDACTED** stated that they came to the store and representative Sandra **LAST NAME REDACTED** was rude to the client and advised that she wouldn't be able to accommodate the client's request to make 400 cookies by February 7th."/>
    <x v="1"/>
    <x v="1"/>
    <s v="Google Reviews"/>
    <n v="33"/>
    <s v="N/A"/>
    <s v="Address Concerns of **CLIENT NAME REDACTED**"/>
    <s v="During the course of our review of the incident, it was determined that Sandra **LAST NAME REDACTED* was within her right to decline the request given the tight turnaround time, and that the agent was at no point rude to the client. Offered 10% off any future purchases to the client."/>
    <x v="1"/>
    <d v="2021-10-01T00:00:00"/>
    <s v="Closed"/>
    <s v="N/A"/>
    <s v="N/A"/>
    <d v="2021-10-02T00:00:00"/>
    <d v="2021-10-02T00:00:00"/>
    <x v="0"/>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3:C6" firstHeaderRow="1" firstDataRow="1" firstDataCol="1"/>
  <pivotFields count="22">
    <pivotField axis="axisRow" dataField="1" numFmtId="164" showAll="0">
      <items count="15">
        <item h="1" x="0"/>
        <item h="1" x="1"/>
        <item h="1" x="2"/>
        <item h="1" x="3"/>
        <item x="4"/>
        <item h="1" x="5"/>
        <item h="1" x="6"/>
        <item h="1" x="7"/>
        <item h="1" x="8"/>
        <item h="1" x="9"/>
        <item h="1" x="10"/>
        <item h="1" x="11"/>
        <item h="1" x="12"/>
        <item h="1" x="13"/>
        <item t="default"/>
      </items>
    </pivotField>
    <pivotField showAll="0" defaultSubtotal="0">
      <items count="3">
        <item x="0"/>
        <item x="1"/>
        <item x="2"/>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pivotField axis="axisRow" showAll="0" defaultSubtotal="0">
      <items count="4">
        <item h="1" x="0"/>
        <item x="1"/>
        <item h="1" x="2"/>
        <item h="1" x="3"/>
      </items>
    </pivotField>
  </pivotFields>
  <rowFields count="2">
    <field x="21"/>
    <field x="0"/>
  </rowFields>
  <rowItems count="3">
    <i>
      <x v="1"/>
    </i>
    <i r="1">
      <x v="4"/>
    </i>
    <i t="grand">
      <x/>
    </i>
  </rowItems>
  <colItems count="1">
    <i/>
  </colItems>
  <dataFields count="1">
    <dataField name="Count of Finding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3:F6" firstHeaderRow="1" firstDataRow="1" firstDataCol="1" rowPageCount="1" colPageCount="1"/>
  <pivotFields count="22">
    <pivotField axis="axisRow" numFmtId="164" showAll="0">
      <items count="15">
        <item h="1" x="0"/>
        <item h="1" x="1"/>
        <item h="1" x="2"/>
        <item h="1" x="3"/>
        <item x="4"/>
        <item h="1" x="5"/>
        <item h="1" x="6"/>
        <item h="1" x="7"/>
        <item h="1" x="8"/>
        <item h="1" x="9"/>
        <item h="1" x="10"/>
        <item h="1" x="11"/>
        <item h="1" x="12"/>
        <item h="1" x="13"/>
        <item t="default"/>
      </items>
    </pivotField>
    <pivotField showAll="0" defaultSubtotal="0">
      <items count="3">
        <item x="0"/>
        <item x="1"/>
        <item x="2"/>
      </items>
    </pivotField>
    <pivotField showAll="0"/>
    <pivotField showAll="0"/>
    <pivotField showAll="0"/>
    <pivotField axis="axisPage"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pivotField axis="axisRow" showAll="0" defaultSubtotal="0">
      <items count="4">
        <item h="1" sd="0" x="0"/>
        <item x="1"/>
        <item h="1" x="2"/>
        <item h="1" sd="0" x="3"/>
      </items>
    </pivotField>
  </pivotFields>
  <rowFields count="2">
    <field x="21"/>
    <field x="0"/>
  </rowFields>
  <rowItems count="3">
    <i>
      <x v="1"/>
    </i>
    <i r="1">
      <x v="4"/>
    </i>
    <i t="grand">
      <x/>
    </i>
  </rowItems>
  <colItems count="1">
    <i/>
  </colItems>
  <pageFields count="1">
    <pageField fld="5" item="1" hier="-1"/>
  </pageFields>
  <dataFields count="1">
    <dataField name="Count of Overall Status"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3:I6" firstHeaderRow="1" firstDataRow="1" firstDataCol="1" rowPageCount="1" colPageCount="1"/>
  <pivotFields count="22">
    <pivotField axis="axisRow" numFmtId="164" showAll="0">
      <items count="15">
        <item h="1" x="0"/>
        <item h="1" x="1"/>
        <item h="1" x="2"/>
        <item h="1" x="3"/>
        <item x="4"/>
        <item h="1" x="5"/>
        <item h="1" x="6"/>
        <item h="1" x="7"/>
        <item h="1" x="8"/>
        <item h="1" x="9"/>
        <item h="1" x="10"/>
        <item h="1" x="11"/>
        <item h="1" x="12"/>
        <item h="1" x="13"/>
        <item t="default"/>
      </items>
    </pivotField>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axis="axisPage" dataField="1" multipleItemSelectionAllowed="1" showAll="0">
      <items count="15">
        <item h="1" x="0"/>
        <item x="3"/>
        <item x="7"/>
        <item x="13"/>
        <item x="8"/>
        <item x="11"/>
        <item x="6"/>
        <item x="1"/>
        <item x="4"/>
        <item x="2"/>
        <item x="10"/>
        <item x="9"/>
        <item x="5"/>
        <item x="12"/>
        <item t="default"/>
      </items>
    </pivotField>
    <pivotField showAll="0"/>
    <pivotField showAll="0"/>
    <pivotField axis="axisRow" showAll="0" defaultSubtotal="0">
      <items count="4">
        <item h="1" sd="0" x="0"/>
        <item x="1"/>
        <item h="1" x="2"/>
        <item h="1" sd="0" x="3"/>
      </items>
    </pivotField>
  </pivotFields>
  <rowFields count="2">
    <field x="21"/>
    <field x="0"/>
  </rowFields>
  <rowItems count="3">
    <i>
      <x v="1"/>
    </i>
    <i r="1">
      <x v="4"/>
    </i>
    <i t="grand">
      <x/>
    </i>
  </rowItems>
  <colItems count="1">
    <i/>
  </colItems>
  <pageFields count="1">
    <pageField fld="18" hier="-1"/>
  </pageFields>
  <dataFields count="1">
    <dataField name="Count of Retarget Counter" fld="18" subtotal="count" baseField="21"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K3:K4" firstHeaderRow="1" firstDataRow="1" firstDataCol="0" rowPageCount="1" colPageCount="1"/>
  <pivotFields count="22">
    <pivotField numFmtId="164" showAll="0">
      <items count="15">
        <item h="1" x="0"/>
        <item h="1" x="1"/>
        <item h="1" x="2"/>
        <item h="1" x="3"/>
        <item h="1" x="4"/>
        <item x="5"/>
        <item h="1" x="6"/>
        <item h="1" x="7"/>
        <item h="1" x="8"/>
        <item h="1" x="9"/>
        <item h="1" x="10"/>
        <item h="1" x="11"/>
        <item h="1" x="12"/>
        <item h="1" x="13"/>
        <item t="default"/>
      </items>
    </pivotField>
    <pivotField showAll="0">
      <items count="4">
        <item x="0"/>
        <item x="1"/>
        <item x="2"/>
        <item t="default"/>
      </items>
    </pivotField>
    <pivotField showAll="0"/>
    <pivotField showAll="0"/>
    <pivotField showAll="0"/>
    <pivotField axis="axisPage"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pivotField showAll="0" defaultSubtotal="0">
      <items count="4">
        <item h="1" sd="0" x="0"/>
        <item x="1"/>
        <item h="1" sd="0" x="2"/>
        <item h="1" sd="0" x="3"/>
      </items>
    </pivotField>
  </pivotFields>
  <rowItems count="1">
    <i/>
  </rowItems>
  <colItems count="1">
    <i/>
  </colItems>
  <pageFields count="1">
    <pageField fld="5" item="2" hier="-1"/>
  </pageFields>
  <dataFields count="1">
    <dataField name="Count of Overall Status"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3:I6" firstHeaderRow="1" firstDataRow="1" firstDataCol="1" rowPageCount="1" colPageCount="1"/>
  <pivotFields count="22">
    <pivotField axis="axisRow" numFmtId="164" showAll="0">
      <items count="15">
        <item h="1" x="0"/>
        <item h="1" x="1"/>
        <item h="1" x="2"/>
        <item h="1" x="3"/>
        <item h="1" x="4"/>
        <item x="5"/>
        <item h="1" x="6"/>
        <item h="1" x="7"/>
        <item h="1" x="8"/>
        <item h="1" x="9"/>
        <item h="1" x="10"/>
        <item h="1" x="11"/>
        <item h="1" x="12"/>
        <item h="1" x="13"/>
        <item t="default"/>
      </items>
    </pivotField>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axis="axisPage" dataField="1" multipleItemSelectionAllowed="1" showAll="0">
      <items count="15">
        <item h="1" x="0"/>
        <item x="3"/>
        <item x="7"/>
        <item x="13"/>
        <item x="8"/>
        <item x="11"/>
        <item x="6"/>
        <item x="1"/>
        <item x="4"/>
        <item x="2"/>
        <item x="10"/>
        <item x="9"/>
        <item x="5"/>
        <item x="12"/>
        <item t="default"/>
      </items>
    </pivotField>
    <pivotField showAll="0"/>
    <pivotField showAll="0"/>
    <pivotField axis="axisRow" showAll="0" defaultSubtotal="0">
      <items count="4">
        <item h="1" sd="0" x="0"/>
        <item x="1"/>
        <item h="1" x="2"/>
        <item h="1" sd="0" x="3"/>
      </items>
    </pivotField>
  </pivotFields>
  <rowFields count="2">
    <field x="21"/>
    <field x="0"/>
  </rowFields>
  <rowItems count="3">
    <i>
      <x v="1"/>
    </i>
    <i r="1">
      <x v="5"/>
    </i>
    <i t="grand">
      <x/>
    </i>
  </rowItems>
  <colItems count="1">
    <i/>
  </colItems>
  <pageFields count="1">
    <pageField fld="18" hier="-1"/>
  </pageFields>
  <dataFields count="1">
    <dataField name="Count of Retarget Counter" fld="18" subtotal="count" baseField="21" baseItem="2"/>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K15:L19" firstHeaderRow="1" firstDataRow="1" firstDataCol="1"/>
  <pivotFields count="22">
    <pivotField dataField="1" numFmtId="164" showAll="0">
      <items count="15">
        <item h="1" x="0"/>
        <item h="1" x="1"/>
        <item h="1" x="2"/>
        <item h="1" x="3"/>
        <item h="1" x="4"/>
        <item x="5"/>
        <item h="1" x="6"/>
        <item h="1" x="7"/>
        <item h="1" x="8"/>
        <item h="1" x="9"/>
        <item h="1" x="10"/>
        <item h="1" x="11"/>
        <item h="1" x="12"/>
        <item h="1" x="13"/>
        <item t="default"/>
      </items>
    </pivotField>
    <pivotField axis="axisRow"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pivotField showAll="0" defaultSubtotal="0">
      <items count="4">
        <item h="1" x="0"/>
        <item x="1"/>
        <item h="1" x="2"/>
        <item h="1" x="3"/>
      </items>
    </pivotField>
  </pivotFields>
  <rowFields count="1">
    <field x="1"/>
  </rowFields>
  <rowItems count="4">
    <i>
      <x/>
    </i>
    <i>
      <x v="1"/>
    </i>
    <i>
      <x v="2"/>
    </i>
    <i t="grand">
      <x/>
    </i>
  </rowItems>
  <colItems count="1">
    <i/>
  </colItems>
  <dataFields count="1">
    <dataField name="Count of Finding Date" fld="0"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Q14:Q15" firstHeaderRow="1" firstDataRow="1" firstDataCol="0" rowPageCount="2" colPageCount="1"/>
  <pivotFields count="22">
    <pivotField dataField="1" numFmtId="164" showAll="0">
      <items count="15">
        <item h="1" x="0"/>
        <item h="1" x="1"/>
        <item h="1" x="2"/>
        <item h="1" x="3"/>
        <item h="1" x="4"/>
        <item x="5"/>
        <item h="1" x="6"/>
        <item h="1" x="7"/>
        <item h="1" x="8"/>
        <item h="1" x="9"/>
        <item h="1" x="10"/>
        <item h="1" x="11"/>
        <item h="1" x="12"/>
        <item h="1" x="13"/>
        <item t="default"/>
      </items>
    </pivotField>
    <pivotField showAll="0">
      <items count="4">
        <item x="0"/>
        <item x="1"/>
        <item x="2"/>
        <item t="default"/>
      </items>
    </pivotField>
    <pivotField showAll="0"/>
    <pivotField showAll="0"/>
    <pivotField showAll="0"/>
    <pivotField axis="axisPage" multipleItemSelectionAllowed="1" showAll="0">
      <items count="4">
        <item x="0"/>
        <item h="1" x="2"/>
        <item x="1"/>
        <item t="default"/>
      </items>
    </pivotField>
    <pivotField showAll="0"/>
    <pivotField showAll="0"/>
    <pivotField showAll="0"/>
    <pivotField showAll="0"/>
    <pivotField showAll="0"/>
    <pivotField axis="axisPage" showAll="0">
      <items count="3">
        <item x="0"/>
        <item x="1"/>
        <item t="default"/>
      </items>
    </pivotField>
    <pivotField showAll="0"/>
    <pivotField showAll="0"/>
    <pivotField showAll="0"/>
    <pivotField showAll="0"/>
    <pivotField numFmtId="164" showAll="0"/>
    <pivotField numFmtId="164" showAll="0"/>
    <pivotField showAll="0"/>
    <pivotField showAll="0"/>
    <pivotField showAll="0"/>
    <pivotField showAll="0" defaultSubtotal="0">
      <items count="4">
        <item h="1" x="0"/>
        <item x="1"/>
        <item h="1" x="2"/>
        <item h="1" x="3"/>
      </items>
    </pivotField>
  </pivotFields>
  <rowItems count="1">
    <i/>
  </rowItems>
  <colItems count="1">
    <i/>
  </colItems>
  <pageFields count="2">
    <pageField fld="11" item="1" hier="-1"/>
    <pageField fld="5" hier="-1"/>
  </pageFields>
  <dataFields count="1">
    <dataField name="Count of Finding Dat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Q26:Q27" firstHeaderRow="1" firstDataRow="1" firstDataCol="0"/>
  <pivotFields count="22">
    <pivotField numFmtId="164" showAll="0">
      <items count="15">
        <item h="1" x="0"/>
        <item h="1" x="1"/>
        <item h="1" x="2"/>
        <item h="1" x="3"/>
        <item h="1" x="4"/>
        <item x="5"/>
        <item h="1" x="6"/>
        <item h="1" x="7"/>
        <item h="1" x="8"/>
        <item h="1" x="9"/>
        <item h="1" x="10"/>
        <item h="1" x="11"/>
        <item h="1" x="12"/>
        <item h="1" x="13"/>
        <item t="default"/>
      </items>
    </pivotField>
    <pivotField showAll="0">
      <items count="4">
        <item x="0"/>
        <item x="1"/>
        <item x="2"/>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pivotField showAll="0" defaultSubtotal="0">
      <items count="4">
        <item h="1" x="0"/>
        <item x="1"/>
        <item h="1" x="2"/>
        <item h="1" x="3"/>
      </items>
    </pivotField>
  </pivotFields>
  <rowItems count="1">
    <i/>
  </rowItems>
  <colItems count="1">
    <i/>
  </colItems>
  <dataFields count="1">
    <dataField name="Average of Days Open" fld="7"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Q21:Q22" firstHeaderRow="1" firstDataRow="1" firstDataCol="0" rowPageCount="2" colPageCount="1"/>
  <pivotFields count="22">
    <pivotField dataField="1" numFmtId="164" showAll="0">
      <items count="15">
        <item h="1" x="0"/>
        <item h="1" x="1"/>
        <item h="1" x="2"/>
        <item h="1" x="3"/>
        <item h="1" x="4"/>
        <item x="5"/>
        <item h="1" x="6"/>
        <item h="1" x="7"/>
        <item h="1" x="8"/>
        <item h="1" x="9"/>
        <item h="1" x="10"/>
        <item h="1" x="11"/>
        <item h="1" x="12"/>
        <item h="1" x="13"/>
        <item t="default"/>
      </items>
    </pivotField>
    <pivotField showAll="0">
      <items count="4">
        <item x="0"/>
        <item x="1"/>
        <item x="2"/>
        <item t="default"/>
      </items>
    </pivotField>
    <pivotField showAll="0"/>
    <pivotField showAll="0"/>
    <pivotField showAll="0"/>
    <pivotField axis="axisPage" multipleItemSelectionAllowed="1" showAll="0">
      <items count="4">
        <item x="0"/>
        <item h="1" x="2"/>
        <item x="1"/>
        <item t="default"/>
      </items>
    </pivotField>
    <pivotField showAll="0"/>
    <pivotField showAll="0"/>
    <pivotField showAll="0"/>
    <pivotField showAll="0"/>
    <pivotField showAll="0"/>
    <pivotField showAll="0">
      <items count="3">
        <item x="0"/>
        <item x="1"/>
        <item t="default"/>
      </items>
    </pivotField>
    <pivotField showAll="0"/>
    <pivotField showAll="0"/>
    <pivotField showAll="0"/>
    <pivotField showAll="0"/>
    <pivotField numFmtId="164" showAll="0"/>
    <pivotField numFmtId="164" showAll="0"/>
    <pivotField showAll="0"/>
    <pivotField axis="axisPage" showAll="0">
      <items count="3">
        <item x="0"/>
        <item x="1"/>
        <item t="default"/>
      </items>
    </pivotField>
    <pivotField showAll="0"/>
    <pivotField showAll="0" defaultSubtotal="0">
      <items count="4">
        <item h="1" x="0"/>
        <item x="1"/>
        <item h="1" x="2"/>
        <item h="1" x="3"/>
      </items>
    </pivotField>
  </pivotFields>
  <rowItems count="1">
    <i/>
  </rowItems>
  <colItems count="1">
    <i/>
  </colItems>
  <pageFields count="2">
    <pageField fld="19" item="1" hier="-1"/>
    <pageField fld="5" hier="-1"/>
  </pageFields>
  <dataFields count="1">
    <dataField name="Count of Finding Date" fld="0" subtotal="count" baseField="0" baseItem="0"/>
  </dataFields>
  <formats count="2">
    <format dxfId="2">
      <pivotArea dataOnly="0" outline="0" axis="axisValues" fieldPosition="0"/>
    </format>
    <format dxfId="1">
      <pivotArea dataOnly="0"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K8:L12" firstHeaderRow="1" firstDataRow="1" firstDataCol="1"/>
  <pivotFields count="22">
    <pivotField numFmtId="164" showAll="0">
      <items count="15">
        <item h="1" x="0"/>
        <item h="1" x="1"/>
        <item h="1" x="2"/>
        <item h="1" x="3"/>
        <item h="1" x="4"/>
        <item x="5"/>
        <item h="1" x="6"/>
        <item h="1" x="7"/>
        <item h="1" x="8"/>
        <item h="1" x="9"/>
        <item h="1" x="10"/>
        <item h="1" x="11"/>
        <item h="1" x="12"/>
        <item h="1" x="13"/>
        <item t="default"/>
      </items>
    </pivotField>
    <pivotField showAll="0">
      <items count="4">
        <item x="0"/>
        <item x="1"/>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axis="axisRow" dataField="1" showAll="0">
      <items count="4">
        <item x="0"/>
        <item x="2"/>
        <item x="1"/>
        <item t="default"/>
      </items>
    </pivotField>
    <pivotField showAll="0" defaultSubtotal="0">
      <items count="4">
        <item h="1" sd="0" x="0"/>
        <item x="1"/>
        <item h="1" x="2"/>
        <item h="1" sd="0" x="3"/>
      </items>
    </pivotField>
  </pivotFields>
  <rowFields count="1">
    <field x="20"/>
  </rowFields>
  <rowItems count="4">
    <i>
      <x/>
    </i>
    <i>
      <x v="1"/>
    </i>
    <i>
      <x v="2"/>
    </i>
    <i t="grand">
      <x/>
    </i>
  </rowItems>
  <colItems count="1">
    <i/>
  </colItems>
  <dataFields count="1">
    <dataField name="Count of Plan Status" fld="20" subtotal="count" baseField="0" baseItem="0"/>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3:C6" firstHeaderRow="1" firstDataRow="1" firstDataCol="1"/>
  <pivotFields count="22">
    <pivotField axis="axisRow" dataField="1" numFmtId="164" showAll="0">
      <items count="15">
        <item h="1" x="0"/>
        <item h="1" x="1"/>
        <item h="1" x="2"/>
        <item h="1" x="3"/>
        <item h="1" x="4"/>
        <item x="5"/>
        <item h="1" x="6"/>
        <item h="1" x="7"/>
        <item h="1" x="8"/>
        <item h="1" x="9"/>
        <item h="1" x="10"/>
        <item h="1" x="11"/>
        <item h="1" x="12"/>
        <item h="1" x="13"/>
        <item t="default"/>
      </items>
    </pivotField>
    <pivotField showAll="0" defaultSubtotal="0">
      <items count="3">
        <item x="0"/>
        <item x="1"/>
        <item x="2"/>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pivotField axis="axisRow" showAll="0" defaultSubtotal="0">
      <items count="4">
        <item h="1" x="0"/>
        <item x="1"/>
        <item h="1" x="2"/>
        <item h="1" x="3"/>
      </items>
    </pivotField>
  </pivotFields>
  <rowFields count="2">
    <field x="21"/>
    <field x="0"/>
  </rowFields>
  <rowItems count="3">
    <i>
      <x v="1"/>
    </i>
    <i r="1">
      <x v="5"/>
    </i>
    <i t="grand">
      <x/>
    </i>
  </rowItems>
  <colItems count="1">
    <i/>
  </colItems>
  <dataFields count="1">
    <dataField name="Count of Finding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3:F6" firstHeaderRow="1" firstDataRow="1" firstDataCol="1" rowPageCount="1" colPageCount="1"/>
  <pivotFields count="22">
    <pivotField axis="axisRow" numFmtId="164" showAll="0">
      <items count="15">
        <item h="1" x="0"/>
        <item h="1" x="1"/>
        <item h="1" x="2"/>
        <item h="1" x="3"/>
        <item h="1" x="4"/>
        <item x="5"/>
        <item h="1" x="6"/>
        <item h="1" x="7"/>
        <item h="1" x="8"/>
        <item h="1" x="9"/>
        <item h="1" x="10"/>
        <item h="1" x="11"/>
        <item h="1" x="12"/>
        <item h="1" x="13"/>
        <item t="default"/>
      </items>
    </pivotField>
    <pivotField showAll="0" defaultSubtotal="0">
      <items count="3">
        <item x="0"/>
        <item x="1"/>
        <item x="2"/>
      </items>
    </pivotField>
    <pivotField showAll="0"/>
    <pivotField showAll="0"/>
    <pivotField showAll="0"/>
    <pivotField axis="axisPage" dataField="1"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pivotField axis="axisRow" showAll="0" defaultSubtotal="0">
      <items count="4">
        <item h="1" sd="0" x="0"/>
        <item x="1"/>
        <item h="1" x="2"/>
        <item h="1" sd="0" x="3"/>
      </items>
    </pivotField>
  </pivotFields>
  <rowFields count="2">
    <field x="21"/>
    <field x="0"/>
  </rowFields>
  <rowItems count="3">
    <i>
      <x v="1"/>
    </i>
    <i r="1">
      <x v="5"/>
    </i>
    <i t="grand">
      <x/>
    </i>
  </rowItems>
  <colItems count="1">
    <i/>
  </colItems>
  <pageFields count="1">
    <pageField fld="5" item="1" hier="-1"/>
  </pageFields>
  <dataFields count="1">
    <dataField name="Count of Overall Status" fld="5"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N3:O7" firstHeaderRow="1" firstDataRow="1" firstDataCol="1"/>
  <pivotFields count="22">
    <pivotField dataField="1" numFmtId="164" showAll="0">
      <items count="15">
        <item h="1" x="0"/>
        <item h="1" x="1"/>
        <item h="1" x="2"/>
        <item h="1" x="3"/>
        <item h="1" x="4"/>
        <item x="5"/>
        <item h="1" x="6"/>
        <item h="1" x="7"/>
        <item h="1" x="8"/>
        <item h="1" x="9"/>
        <item h="1" x="10"/>
        <item h="1" x="11"/>
        <item h="1" x="12"/>
        <item h="1" x="13"/>
        <item t="default"/>
      </items>
    </pivotField>
    <pivotField showAll="0">
      <items count="4">
        <item x="0"/>
        <item x="1"/>
        <item x="2"/>
        <item t="default"/>
      </items>
    </pivotField>
    <pivotField showAll="0"/>
    <pivotField showAll="0"/>
    <pivotField axis="axisRow" showAll="0">
      <items count="6">
        <item m="1" x="4"/>
        <item x="0"/>
        <item x="1"/>
        <item x="2"/>
        <item x="3"/>
        <item t="default"/>
      </items>
    </pivotField>
    <pivotField showAll="0"/>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pivotField showAll="0" defaultSubtotal="0">
      <items count="4">
        <item h="1" x="0"/>
        <item x="1"/>
        <item h="1" x="2"/>
        <item h="1" x="3"/>
      </items>
    </pivotField>
  </pivotFields>
  <rowFields count="1">
    <field x="4"/>
  </rowFields>
  <rowItems count="4">
    <i>
      <x v="1"/>
    </i>
    <i>
      <x v="2"/>
    </i>
    <i>
      <x v="4"/>
    </i>
    <i t="grand">
      <x/>
    </i>
  </rowItems>
  <colItems count="1">
    <i/>
  </colItems>
  <dataFields count="1">
    <dataField name="Count of Finding Date" fld="0"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4.xml><?xml version="1.0" encoding="utf-8"?>
<pivotTableDefinition xmlns="http://schemas.openxmlformats.org/spreadsheetml/2006/main" name="PivotTable18"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V27:V28" firstHeaderRow="1" firstDataRow="1" firstDataCol="0"/>
  <pivotFields count="22">
    <pivotField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pivotField showAll="0"/>
    <pivotField showAll="0"/>
    <pivotField showAll="0">
      <items count="4">
        <item x="0"/>
        <item x="2"/>
        <item x="1"/>
        <item t="default"/>
      </items>
    </pivotField>
    <pivotField showAll="0"/>
    <pivotField dataField="1" showAll="0"/>
    <pivotField showAll="0"/>
    <pivotField showAll="0"/>
    <pivotField showAll="0"/>
    <pivotField showAll="0">
      <items count="3">
        <item x="0"/>
        <item x="1"/>
        <item t="default"/>
      </items>
    </pivotField>
    <pivotField showAll="0"/>
    <pivotField showAll="0"/>
    <pivotField showAll="0"/>
    <pivotField showAll="0"/>
    <pivotField numFmtId="164" showAll="0"/>
    <pivotField numFmtId="164" showAll="0"/>
    <pivotField showAll="0"/>
    <pivotField showAll="0">
      <items count="3">
        <item x="0"/>
        <item x="1"/>
        <item t="default"/>
      </items>
    </pivotField>
    <pivotField showAll="0">
      <items count="4">
        <item x="0"/>
        <item x="2"/>
        <item x="1"/>
        <item t="default"/>
      </items>
    </pivotField>
    <pivotField showAll="0" defaultSubtotal="0">
      <items count="4">
        <item x="0"/>
        <item x="1"/>
        <item x="2"/>
        <item x="3"/>
      </items>
    </pivotField>
  </pivotFields>
  <rowItems count="1">
    <i/>
  </rowItems>
  <colItems count="1">
    <i/>
  </colItems>
  <dataFields count="1">
    <dataField name="Average of Days Open" fld="7"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5.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B3:C20" firstHeaderRow="1" firstDataRow="1" firstDataCol="1"/>
  <pivotFields count="22">
    <pivotField axis="axisRow" dataField="1"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items count="4">
        <item x="0"/>
        <item x="2"/>
        <item x="1"/>
        <item t="default"/>
      </items>
    </pivotField>
    <pivotField axis="axisRow" showAll="0" defaultSubtotal="0">
      <items count="4">
        <item sd="0" x="0"/>
        <item x="1"/>
        <item x="2"/>
        <item sd="0" x="3"/>
      </items>
    </pivotField>
  </pivotFields>
  <rowFields count="2">
    <field x="21"/>
    <field x="0"/>
  </rowFields>
  <rowItems count="17">
    <i>
      <x v="1"/>
    </i>
    <i r="1">
      <x v="1"/>
    </i>
    <i r="1">
      <x v="2"/>
    </i>
    <i r="1">
      <x v="3"/>
    </i>
    <i r="1">
      <x v="4"/>
    </i>
    <i r="1">
      <x v="5"/>
    </i>
    <i r="1">
      <x v="6"/>
    </i>
    <i r="1">
      <x v="7"/>
    </i>
    <i r="1">
      <x v="8"/>
    </i>
    <i r="1">
      <x v="9"/>
    </i>
    <i r="1">
      <x v="10"/>
    </i>
    <i r="1">
      <x v="11"/>
    </i>
    <i r="1">
      <x v="12"/>
    </i>
    <i>
      <x v="2"/>
    </i>
    <i r="1">
      <x v="1"/>
    </i>
    <i r="1">
      <x v="2"/>
    </i>
    <i t="grand">
      <x/>
    </i>
  </rowItems>
  <colItems count="1">
    <i/>
  </colItems>
  <dataFields count="1">
    <dataField name="Count of Finding Date" fld="0"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6.xml><?xml version="1.0" encoding="utf-8"?>
<pivotTableDefinition xmlns="http://schemas.openxmlformats.org/spreadsheetml/2006/main" name="PivotTable16"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V15:V16" firstHeaderRow="1" firstDataRow="1" firstDataCol="0" rowPageCount="1" colPageCount="1"/>
  <pivotFields count="22">
    <pivotField dataField="1"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pivotField showAll="0"/>
    <pivotField showAll="0"/>
    <pivotField showAll="0">
      <items count="4">
        <item x="0"/>
        <item x="2"/>
        <item x="1"/>
        <item t="default"/>
      </items>
    </pivotField>
    <pivotField showAll="0"/>
    <pivotField showAll="0"/>
    <pivotField showAll="0"/>
    <pivotField showAll="0"/>
    <pivotField showAll="0"/>
    <pivotField axis="axisPage" showAll="0">
      <items count="3">
        <item x="0"/>
        <item x="1"/>
        <item t="default"/>
      </items>
    </pivotField>
    <pivotField showAll="0"/>
    <pivotField showAll="0"/>
    <pivotField showAll="0"/>
    <pivotField showAll="0"/>
    <pivotField numFmtId="164" showAll="0"/>
    <pivotField numFmtId="164" showAll="0"/>
    <pivotField showAll="0"/>
    <pivotField showAll="0"/>
    <pivotField showAll="0">
      <items count="4">
        <item x="0"/>
        <item x="2"/>
        <item x="1"/>
        <item t="default"/>
      </items>
    </pivotField>
    <pivotField showAll="0" defaultSubtotal="0">
      <items count="4">
        <item x="0"/>
        <item x="1"/>
        <item x="2"/>
        <item x="3"/>
      </items>
    </pivotField>
  </pivotFields>
  <rowItems count="1">
    <i/>
  </rowItems>
  <colItems count="1">
    <i/>
  </colItems>
  <pageFields count="1">
    <pageField fld="11" item="1" hier="-1"/>
  </pageFields>
  <dataFields count="1">
    <dataField name="Count of Finding Dat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7.xml><?xml version="1.0" encoding="utf-8"?>
<pivotTableDefinition xmlns="http://schemas.openxmlformats.org/spreadsheetml/2006/main" name="PivotTable1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V21:V22" firstHeaderRow="1" firstDataRow="1" firstDataCol="0" rowPageCount="1" colPageCount="1"/>
  <pivotFields count="22">
    <pivotField dataField="1"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pivotField showAll="0"/>
    <pivotField showAll="0"/>
    <pivotField showAll="0">
      <items count="4">
        <item x="0"/>
        <item x="2"/>
        <item x="1"/>
        <item t="default"/>
      </items>
    </pivotField>
    <pivotField showAll="0"/>
    <pivotField showAll="0"/>
    <pivotField showAll="0"/>
    <pivotField showAll="0"/>
    <pivotField showAll="0"/>
    <pivotField showAll="0">
      <items count="3">
        <item x="0"/>
        <item x="1"/>
        <item t="default"/>
      </items>
    </pivotField>
    <pivotField showAll="0"/>
    <pivotField showAll="0"/>
    <pivotField showAll="0"/>
    <pivotField showAll="0"/>
    <pivotField numFmtId="164" showAll="0"/>
    <pivotField numFmtId="164" showAll="0"/>
    <pivotField showAll="0"/>
    <pivotField axis="axisPage" showAll="0">
      <items count="3">
        <item x="0"/>
        <item x="1"/>
        <item t="default"/>
      </items>
    </pivotField>
    <pivotField showAll="0">
      <items count="4">
        <item x="0"/>
        <item x="2"/>
        <item x="1"/>
        <item t="default"/>
      </items>
    </pivotField>
    <pivotField showAll="0" defaultSubtotal="0">
      <items count="4">
        <item x="0"/>
        <item x="1"/>
        <item x="2"/>
        <item x="3"/>
      </items>
    </pivotField>
  </pivotFields>
  <rowItems count="1">
    <i/>
  </rowItems>
  <colItems count="1">
    <i/>
  </colItems>
  <pageFields count="1">
    <pageField fld="19" item="1" hier="-1"/>
  </pageFields>
  <dataFields count="1">
    <dataField name="Count of Finding Dat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8.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R3:S8" firstHeaderRow="1" firstDataRow="1" firstDataCol="1"/>
  <pivotFields count="22">
    <pivotField dataField="1"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pivotField showAll="0"/>
    <pivotField axis="axisRow" showAll="0">
      <items count="6">
        <item x="3"/>
        <item x="0"/>
        <item x="1"/>
        <item x="2"/>
        <item m="1" x="4"/>
        <item t="default"/>
      </items>
    </pivotField>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items count="4">
        <item x="0"/>
        <item x="2"/>
        <item x="1"/>
        <item t="default"/>
      </items>
    </pivotField>
    <pivotField showAll="0" defaultSubtotal="0">
      <items count="4">
        <item x="0"/>
        <item x="1"/>
        <item x="2"/>
        <item x="3"/>
      </items>
    </pivotField>
  </pivotFields>
  <rowFields count="1">
    <field x="4"/>
  </rowFields>
  <rowItems count="5">
    <i>
      <x/>
    </i>
    <i>
      <x v="1"/>
    </i>
    <i>
      <x v="2"/>
    </i>
    <i>
      <x v="3"/>
    </i>
    <i t="grand">
      <x/>
    </i>
  </rowItems>
  <colItems count="1">
    <i/>
  </colItems>
  <dataFields count="1">
    <dataField name="Count of Finding Date" fld="0" subtotal="count" baseField="0" baseItem="0"/>
  </dataFields>
  <chartFormats count="1">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9.xml><?xml version="1.0" encoding="utf-8"?>
<pivotTableDefinition xmlns="http://schemas.openxmlformats.org/spreadsheetml/2006/main" name="PivotTable15"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V3:V4" firstHeaderRow="1" firstDataRow="1" firstDataCol="0"/>
  <pivotFields count="22">
    <pivotField dataField="1"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items count="4">
        <item x="0"/>
        <item x="2"/>
        <item x="1"/>
        <item t="default"/>
      </items>
    </pivotField>
    <pivotField showAll="0" defaultSubtotal="0">
      <items count="4">
        <item x="0"/>
        <item x="1"/>
        <item x="2"/>
        <item x="3"/>
      </items>
    </pivotField>
  </pivotFields>
  <rowItems count="1">
    <i/>
  </rowItems>
  <colItems count="1">
    <i/>
  </colItems>
  <dataFields count="1">
    <dataField name="Count of Finding Dat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0.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F3:G19" firstHeaderRow="1" firstDataRow="1" firstDataCol="1" rowPageCount="1" colPageCount="1"/>
  <pivotFields count="22">
    <pivotField axis="axisRow" dataField="1"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pivotField showAll="0"/>
    <pivotField showAll="0"/>
    <pivotField axis="axisPage"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items count="4">
        <item x="0"/>
        <item x="2"/>
        <item x="1"/>
        <item t="default"/>
      </items>
    </pivotField>
    <pivotField axis="axisRow" showAll="0" defaultSubtotal="0">
      <items count="4">
        <item sd="0" x="0"/>
        <item x="1"/>
        <item x="2"/>
        <item sd="0" x="3"/>
      </items>
    </pivotField>
  </pivotFields>
  <rowFields count="2">
    <field x="21"/>
    <field x="0"/>
  </rowFields>
  <rowItems count="16">
    <i>
      <x v="1"/>
    </i>
    <i r="1">
      <x v="1"/>
    </i>
    <i r="1">
      <x v="2"/>
    </i>
    <i r="1">
      <x v="3"/>
    </i>
    <i r="1">
      <x v="4"/>
    </i>
    <i r="1">
      <x v="5"/>
    </i>
    <i r="1">
      <x v="6"/>
    </i>
    <i r="1">
      <x v="7"/>
    </i>
    <i r="1">
      <x v="8"/>
    </i>
    <i r="1">
      <x v="9"/>
    </i>
    <i r="1">
      <x v="10"/>
    </i>
    <i r="1">
      <x v="11"/>
    </i>
    <i r="1">
      <x v="12"/>
    </i>
    <i>
      <x v="2"/>
    </i>
    <i r="1">
      <x v="2"/>
    </i>
    <i t="grand">
      <x/>
    </i>
  </rowItems>
  <colItems count="1">
    <i/>
  </colItems>
  <pageFields count="1">
    <pageField fld="5" item="1" hier="-1"/>
  </pageFields>
  <dataFields count="1">
    <dataField name="Count of Finding Date" fld="0"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1.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J3:K15" firstHeaderRow="1" firstDataRow="1" firstDataCol="1" rowPageCount="1" colPageCount="1"/>
  <pivotFields count="22">
    <pivotField axis="axisRow"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axis="axisPage" dataField="1" multipleItemSelectionAllowed="1" showAll="0">
      <items count="15">
        <item h="1" x="0"/>
        <item x="3"/>
        <item x="7"/>
        <item x="13"/>
        <item x="8"/>
        <item x="11"/>
        <item x="6"/>
        <item x="1"/>
        <item x="4"/>
        <item x="2"/>
        <item x="10"/>
        <item x="9"/>
        <item x="5"/>
        <item x="12"/>
        <item t="default"/>
      </items>
    </pivotField>
    <pivotField showAll="0"/>
    <pivotField showAll="0">
      <items count="4">
        <item x="0"/>
        <item x="2"/>
        <item x="1"/>
        <item t="default"/>
      </items>
    </pivotField>
    <pivotField axis="axisRow" showAll="0" defaultSubtotal="0">
      <items count="4">
        <item sd="0" x="0"/>
        <item x="1"/>
        <item x="2"/>
        <item sd="0" x="3"/>
      </items>
    </pivotField>
  </pivotFields>
  <rowFields count="2">
    <field x="21"/>
    <field x="0"/>
  </rowFields>
  <rowItems count="12">
    <i>
      <x v="1"/>
    </i>
    <i r="1">
      <x v="1"/>
    </i>
    <i r="1">
      <x v="2"/>
    </i>
    <i r="1">
      <x v="3"/>
    </i>
    <i r="1">
      <x v="4"/>
    </i>
    <i r="1">
      <x v="5"/>
    </i>
    <i r="1">
      <x v="6"/>
    </i>
    <i r="1">
      <x v="8"/>
    </i>
    <i r="1">
      <x v="10"/>
    </i>
    <i r="1">
      <x v="11"/>
    </i>
    <i r="1">
      <x v="12"/>
    </i>
    <i t="grand">
      <x/>
    </i>
  </rowItems>
  <colItems count="1">
    <i/>
  </colItems>
  <pageFields count="1">
    <pageField fld="18" hier="-1"/>
  </pageFields>
  <dataFields count="1">
    <dataField name="Count of Retarget Counter" fld="18" subtotal="count" baseField="0" baseItem="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2.xml><?xml version="1.0" encoding="utf-8"?>
<pivotTableDefinition xmlns="http://schemas.openxmlformats.org/spreadsheetml/2006/main" name="PivotTable1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V9:V10" firstHeaderRow="1" firstDataRow="1" firstDataCol="0" rowPageCount="1" colPageCount="1"/>
  <pivotFields count="22">
    <pivotField dataField="1"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pivotField showAll="0"/>
    <pivotField showAll="0"/>
    <pivotField axis="axisPage"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items count="4">
        <item x="0"/>
        <item x="2"/>
        <item x="1"/>
        <item t="default"/>
      </items>
    </pivotField>
    <pivotField showAll="0" defaultSubtotal="0">
      <items count="4">
        <item x="0"/>
        <item x="1"/>
        <item x="2"/>
        <item x="3"/>
      </items>
    </pivotField>
  </pivotFields>
  <rowItems count="1">
    <i/>
  </rowItems>
  <colItems count="1">
    <i/>
  </colItems>
  <pageFields count="1">
    <pageField fld="5" hier="-1"/>
  </pageFields>
  <dataFields count="1">
    <dataField name="Count of Finding Dat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3.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N11:O15" firstHeaderRow="1" firstDataRow="1" firstDataCol="1"/>
  <pivotFields count="22">
    <pivotField dataField="1" numFmtId="164" showAll="0">
      <items count="15">
        <item x="0"/>
        <item x="1"/>
        <item x="2"/>
        <item x="3"/>
        <item x="4"/>
        <item x="5"/>
        <item x="6"/>
        <item x="7"/>
        <item x="8"/>
        <item x="9"/>
        <item x="10"/>
        <item x="11"/>
        <item x="12"/>
        <item x="13"/>
        <item t="default"/>
      </items>
    </pivotField>
    <pivotField showAll="0">
      <items count="4">
        <item x="0"/>
        <item x="1"/>
        <item x="2"/>
        <item t="default"/>
      </items>
    </pivotField>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axis="axisRow" showAll="0">
      <items count="4">
        <item x="0"/>
        <item x="2"/>
        <item x="1"/>
        <item t="default"/>
      </items>
    </pivotField>
    <pivotField showAll="0" defaultSubtotal="0">
      <items count="4">
        <item x="0"/>
        <item x="1"/>
        <item x="2"/>
        <item x="3"/>
      </items>
    </pivotField>
  </pivotFields>
  <rowFields count="1">
    <field x="20"/>
  </rowFields>
  <rowItems count="4">
    <i>
      <x/>
    </i>
    <i>
      <x v="1"/>
    </i>
    <i>
      <x v="2"/>
    </i>
    <i t="grand">
      <x/>
    </i>
  </rowItems>
  <colItems count="1">
    <i/>
  </colItems>
  <dataFields count="1">
    <dataField name="Count of Finding Date" fld="0" subtotal="count" baseField="0" baseItem="0"/>
  </dataFields>
  <chartFormats count="1">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4.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N3:O7" firstHeaderRow="1" firstDataRow="1" firstDataCol="1"/>
  <pivotFields count="22">
    <pivotField dataField="1" numFmtId="164" showAll="0">
      <items count="15">
        <item x="0"/>
        <item x="1"/>
        <item x="2"/>
        <item x="3"/>
        <item x="4"/>
        <item x="5"/>
        <item x="6"/>
        <item x="7"/>
        <item x="8"/>
        <item x="9"/>
        <item x="10"/>
        <item x="11"/>
        <item x="12"/>
        <item x="13"/>
        <item t="default"/>
      </items>
    </pivotField>
    <pivotField axis="axisRow" showAll="0">
      <items count="4">
        <item x="0"/>
        <item x="1"/>
        <item x="2"/>
        <item t="default"/>
      </items>
    </pivotField>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numFmtId="164" showAll="0"/>
    <pivotField numFmtId="164" showAll="0"/>
    <pivotField showAll="0"/>
    <pivotField showAll="0"/>
    <pivotField showAll="0">
      <items count="4">
        <item x="0"/>
        <item x="2"/>
        <item x="1"/>
        <item t="default"/>
      </items>
    </pivotField>
    <pivotField showAll="0" defaultSubtotal="0">
      <items count="4">
        <item x="0"/>
        <item x="1"/>
        <item x="2"/>
        <item x="3"/>
      </items>
    </pivotField>
  </pivotFields>
  <rowFields count="1">
    <field x="1"/>
  </rowFields>
  <rowItems count="4">
    <i>
      <x/>
    </i>
    <i>
      <x v="1"/>
    </i>
    <i>
      <x v="2"/>
    </i>
    <i t="grand">
      <x/>
    </i>
  </rowItems>
  <colItems count="1">
    <i/>
  </colItems>
  <dataFields count="1">
    <dataField name="Count of Finding Date" fld="0" subtotal="count" baseField="0" baseItem="0"/>
  </dataFields>
  <chartFormats count="1">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c_cur_mon_yrs" sourceName="Years">
  <pivotTables>
    <pivotTable tabId="6" name="PivotTable2"/>
    <pivotTable tabId="6" name="PivotTable1"/>
    <pivotTable tabId="6" name="PivotTable10"/>
    <pivotTable tabId="6" name="PivotTable11"/>
    <pivotTable tabId="6" name="PivotTable3"/>
    <pivotTable tabId="6" name="PivotTable4"/>
    <pivotTable tabId="6" name="PivotTable7"/>
    <pivotTable tabId="6" name="PivotTable8"/>
    <pivotTable tabId="6" name="PivotTable9"/>
    <pivotTable tabId="6" name="PivotTable5"/>
  </pivotTables>
  <data>
    <tabular pivotCacheId="3">
      <items count="4">
        <i x="1" s="1"/>
        <i x="0" nd="1"/>
        <i x="3" nd="1"/>
        <i x="2"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c_cur_mon_month" sourceName="Finding Date">
  <pivotTables>
    <pivotTable tabId="6" name="PivotTable2"/>
    <pivotTable tabId="6" name="PivotTable1"/>
    <pivotTable tabId="6" name="PivotTable10"/>
    <pivotTable tabId="6" name="PivotTable11"/>
    <pivotTable tabId="6" name="PivotTable3"/>
    <pivotTable tabId="6" name="PivotTable4"/>
    <pivotTable tabId="6" name="PivotTable7"/>
    <pivotTable tabId="6" name="PivotTable8"/>
    <pivotTable tabId="6" name="PivotTable9"/>
    <pivotTable tabId="6" name="PivotTable5"/>
  </pivotTables>
  <data>
    <tabular pivotCacheId="3">
      <items count="14">
        <i x="1"/>
        <i x="2"/>
        <i x="3"/>
        <i x="4"/>
        <i x="5" s="1"/>
        <i x="6"/>
        <i x="7"/>
        <i x="8"/>
        <i x="9"/>
        <i x="10"/>
        <i x="11"/>
        <i x="12"/>
        <i x="0" nd="1"/>
        <i x="13"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c_pre_mon_yrs" sourceName="Years">
  <pivotTables>
    <pivotTable tabId="30" name="PivotTable2"/>
    <pivotTable tabId="30" name="PivotTable1"/>
    <pivotTable tabId="30" name="PivotTable3"/>
  </pivotTables>
  <data>
    <tabular pivotCacheId="3">
      <items count="4">
        <i x="1" s="1"/>
        <i x="0" nd="1"/>
        <i x="3" nd="1"/>
        <i x="2"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c_pre_mon_month" sourceName="Finding Date">
  <pivotTables>
    <pivotTable tabId="30" name="PivotTable2"/>
    <pivotTable tabId="30" name="PivotTable1"/>
    <pivotTable tabId="30" name="PivotTable3"/>
  </pivotTables>
  <data>
    <tabular pivotCacheId="3">
      <items count="14">
        <i x="1"/>
        <i x="2"/>
        <i x="3"/>
        <i x="4" s="1"/>
        <i x="5"/>
        <i x="6"/>
        <i x="7"/>
        <i x="8"/>
        <i x="9"/>
        <i x="10"/>
        <i x="11"/>
        <i x="12"/>
        <i x="0" nd="1"/>
        <i x="13"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c_cur_mon_crit" sourceName="Criticality">
  <pivotTables>
    <pivotTable tabId="6" name="PivotTable2"/>
    <pivotTable tabId="6" name="PivotTable1"/>
    <pivotTable tabId="6" name="PivotTable10"/>
    <pivotTable tabId="6" name="PivotTable11"/>
    <pivotTable tabId="6" name="PivotTable3"/>
    <pivotTable tabId="6" name="PivotTable4"/>
    <pivotTable tabId="6" name="PivotTable7"/>
    <pivotTable tabId="6" name="PivotTable8"/>
    <pivotTable tabId="6" name="PivotTable9"/>
    <pivotTable tabId="30" name="PivotTable1"/>
    <pivotTable tabId="30" name="PivotTable2"/>
    <pivotTable tabId="30" name="PivotTable3"/>
    <pivotTable tabId="6" name="PivotTable5"/>
  </pivotTables>
  <data>
    <tabular pivotCacheId="3">
      <items count="3">
        <i x="0" s="1"/>
        <i x="1" s="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inding_Date" sourceName="Finding Date">
  <pivotTables>
    <pivotTable tabId="34" name="PivotTable6"/>
    <pivotTable tabId="34" name="PivotTable10"/>
    <pivotTable tabId="34" name="PivotTable11"/>
    <pivotTable tabId="34" name="PivotTable12"/>
    <pivotTable tabId="34" name="PivotTable14"/>
    <pivotTable tabId="34" name="PivotTable15"/>
    <pivotTable tabId="34" name="PivotTable16"/>
    <pivotTable tabId="34" name="PivotTable17"/>
    <pivotTable tabId="34" name="PivotTable18"/>
    <pivotTable tabId="34" name="PivotTable7"/>
    <pivotTable tabId="34" name="PivotTable9"/>
  </pivotTables>
  <data>
    <tabular pivotCacheId="3">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Years" sourceName="Years">
  <pivotTables>
    <pivotTable tabId="34" name="PivotTable6"/>
    <pivotTable tabId="34" name="PivotTable10"/>
    <pivotTable tabId="34" name="PivotTable11"/>
    <pivotTable tabId="34" name="PivotTable12"/>
    <pivotTable tabId="34" name="PivotTable14"/>
    <pivotTable tabId="34" name="PivotTable15"/>
    <pivotTable tabId="34" name="PivotTable16"/>
    <pivotTable tabId="34" name="PivotTable17"/>
    <pivotTable tabId="34" name="PivotTable18"/>
    <pivotTable tabId="34" name="PivotTable7"/>
    <pivotTable tabId="34" name="PivotTable9"/>
  </pivotTables>
  <data>
    <tabular pivotCacheId="3">
      <items count="4">
        <i x="1" s="1"/>
        <i x="2" s="1"/>
        <i x="0" s="1" nd="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Criticality" sourceName="Criticality">
  <pivotTables>
    <pivotTable tabId="34" name="PivotTable6"/>
    <pivotTable tabId="34" name="PivotTable10"/>
    <pivotTable tabId="34" name="PivotTable11"/>
    <pivotTable tabId="34" name="PivotTable12"/>
    <pivotTable tabId="34" name="PivotTable14"/>
    <pivotTable tabId="34" name="PivotTable15"/>
    <pivotTable tabId="34" name="PivotTable16"/>
    <pivotTable tabId="34" name="PivotTable17"/>
    <pivotTable tabId="34" name="PivotTable18"/>
    <pivotTable tabId="34" name="PivotTable7"/>
    <pivotTable tabId="34" name="PivotTable9"/>
  </pivotTables>
  <data>
    <tabular pivotCacheId="3">
      <items count="3">
        <i x="0" s="1"/>
        <i x="1" s="1"/>
        <i x="2"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lan_Status" sourceName="Plan Status">
  <pivotTables>
    <pivotTable tabId="34" name="PivotTable6"/>
    <pivotTable tabId="34" name="PivotTable10"/>
    <pivotTable tabId="34" name="PivotTable11"/>
    <pivotTable tabId="34" name="PivotTable12"/>
    <pivotTable tabId="34" name="PivotTable14"/>
    <pivotTable tabId="34" name="PivotTable15"/>
    <pivotTable tabId="34" name="PivotTable16"/>
    <pivotTable tabId="34" name="PivotTable17"/>
    <pivotTable tabId="34" name="PivotTable18"/>
    <pivotTable tabId="34" name="PivotTable7"/>
    <pivotTable tabId="34" name="PivotTable9"/>
  </pivotTables>
  <data>
    <tabular pivotCacheId="3">
      <items count="3">
        <i x="0" s="1"/>
        <i x="2" s="1"/>
        <i x="1"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Years 1" cache="slc_pre_mon_yrs" caption="Years" rowHeight="241300"/>
  <slicer name="Finding Date 1" cache="slc_pre_mon_month" caption="Finding Date"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Years" cache="slc_cur_mon_yrs" caption="Years" rowHeight="241300"/>
  <slicer name="Finding Date" cache="slc_cur_mon_month" caption="Finding Date" rowHeight="241300"/>
  <slicer name="Criticality" cache="slc_cur_mon_crit" caption="Criticality" style="SlicerStyleLight1 2"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Criticality 1" cache="slc_cur_mon_crit" caption="Criticality" columnCount="3" style="SlicerStyleLight1 2" rowHeight="274320"/>
</slicers>
</file>

<file path=xl/slicers/slicer4.xml><?xml version="1.0" encoding="utf-8"?>
<slicers xmlns="http://schemas.microsoft.com/office/spreadsheetml/2009/9/main" xmlns:mc="http://schemas.openxmlformats.org/markup-compatibility/2006" xmlns:x="http://schemas.openxmlformats.org/spreadsheetml/2006/main" mc:Ignorable="x">
  <slicer name="Finding Date 2" cache="Slicer_Finding_Date" caption="Finding Date" style="SlicerStyleLight1 2" rowHeight="241300"/>
  <slicer name="Years 2" cache="Slicer_Years" caption="Years" style="SlicerStyleLight1 2" rowHeight="241300"/>
  <slicer name="Criticality 2" cache="Slicer_Criticality" caption="Criticality" style="SlicerStyleLight1 2" rowHeight="241300"/>
  <slicer name="Plan Status" cache="Slicer_Plan_Status" caption="Plan Status" style="SlicerStyleLight1 2"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Finding Date 3" cache="Slicer_Finding_Date" caption="Month" style="SlicerStyleLight1 2" rowHeight="241300"/>
  <slicer name="Years 3" cache="Slicer_Years" caption="Years" style="SlicerStyleLight1 2" rowHeight="241300"/>
  <slicer name="Criticality 3" cache="Slicer_Criticality" caption="Criticality" columnCount="2" style="SlicerStyleLight1 2" rowHeight="241300"/>
  <slicer name="Plan Status 1" cache="Slicer_Plan_Status" caption="Plan Status" columnCount="2" style="SlicerStyleLight1 2" rowHeight="241300"/>
</slicers>
</file>

<file path=xl/tables/table1.xml><?xml version="1.0" encoding="utf-8"?>
<table xmlns="http://schemas.openxmlformats.org/spreadsheetml/2006/main" id="7" name="overall_data" displayName="overall_data" ref="A6:U126" totalsRowShown="0" headerRowDxfId="21" dataDxfId="20">
  <autoFilter ref="A6:U126"/>
  <tableColumns count="21">
    <tableColumn id="1" name="Finding Date" dataDxfId="19"/>
    <tableColumn id="2" name="Criticality" dataDxfId="18"/>
    <tableColumn id="3" name="Finding Name"/>
    <tableColumn id="4" name="Finding Description"/>
    <tableColumn id="5" name="Finding Owner"/>
    <tableColumn id="6" name="Overall Status" dataDxfId="17"/>
    <tableColumn id="7" name="Source" dataDxfId="16"/>
    <tableColumn id="8" name="Days Open" dataDxfId="15">
      <calculatedColumnFormula>IF(A7="","",IF(ISNUMBER(M7),M7-A7,TODAY()-A7))</calculatedColumnFormula>
    </tableColumn>
    <tableColumn id="9" name="Remediation Plan ID" dataDxfId="14"/>
    <tableColumn id="10" name="Remediation Plan Name"/>
    <tableColumn id="11" name="Remediation Plan Summary" dataDxfId="13"/>
    <tableColumn id="12" name="Tech Dependency" dataDxfId="12"/>
    <tableColumn id="13" name="Redmediation Close Date" dataDxfId="11"/>
    <tableColumn id="14" name="Remediation Status" dataDxfId="10">
      <calculatedColumnFormula>IF(M7="","",IF(ISNUMBER(M7),"Closed","Open"))</calculatedColumnFormula>
    </tableColumn>
    <tableColumn id="15" name="Original Plan Date" dataDxfId="9"/>
    <tableColumn id="16" name="Current Plan Date" dataDxfId="8"/>
    <tableColumn id="17" name="Original Commitment Date" dataDxfId="7"/>
    <tableColumn id="18" name="Current Commitment Date" dataDxfId="6"/>
    <tableColumn id="19" name="Retarget Counter" dataDxfId="5">
      <calculatedColumnFormula>IF(Q7="","",R7-Q7)</calculatedColumnFormula>
    </tableColumn>
    <tableColumn id="20" name="Fraud Dependency" dataDxfId="4"/>
    <tableColumn id="21" name="Plan Status" dataDxfId="3"/>
  </tableColumns>
  <tableStyleInfo name="TableStyleMedium4" showFirstColumn="0" showLastColumn="0" showRowStripes="1" showColumnStripes="0"/>
</table>
</file>

<file path=xl/tables/table2.xml><?xml version="1.0" encoding="utf-8"?>
<table xmlns="http://schemas.openxmlformats.org/spreadsheetml/2006/main" id="1" name="tbl_Criticality" displayName="tbl_Criticality" ref="B2:B5" totalsRowShown="0">
  <autoFilter ref="B2:B5"/>
  <tableColumns count="1">
    <tableColumn id="1" name="Criticality"/>
  </tableColumns>
  <tableStyleInfo name="TableStyleMedium4" showFirstColumn="0" showLastColumn="0" showRowStripes="1" showColumnStripes="0"/>
</table>
</file>

<file path=xl/tables/table3.xml><?xml version="1.0" encoding="utf-8"?>
<table xmlns="http://schemas.openxmlformats.org/spreadsheetml/2006/main" id="2" name="tbl_Finding_Status" displayName="tbl_Finding_Status" ref="D2:D5" totalsRowShown="0">
  <autoFilter ref="D2:D5"/>
  <tableColumns count="1">
    <tableColumn id="1" name="Finding Status"/>
  </tableColumns>
  <tableStyleInfo name="TableStyleMedium4" showFirstColumn="0" showLastColumn="0" showRowStripes="1" showColumnStripes="0"/>
</table>
</file>

<file path=xl/tables/table4.xml><?xml version="1.0" encoding="utf-8"?>
<table xmlns="http://schemas.openxmlformats.org/spreadsheetml/2006/main" id="3" name="tbl_Source" displayName="tbl_Source" ref="F2:F5" totalsRowShown="0">
  <autoFilter ref="F2:F5"/>
  <tableColumns count="1">
    <tableColumn id="1" name="Source"/>
  </tableColumns>
  <tableStyleInfo name="TableStyleMedium4" showFirstColumn="0" showLastColumn="0" showRowStripes="1" showColumnStripes="0"/>
</table>
</file>

<file path=xl/tables/table5.xml><?xml version="1.0" encoding="utf-8"?>
<table xmlns="http://schemas.openxmlformats.org/spreadsheetml/2006/main" id="4" name="tbl_Tech_Dependency" displayName="tbl_Tech_Dependency" ref="H2:H4" totalsRowShown="0">
  <autoFilter ref="H2:H4"/>
  <tableColumns count="1">
    <tableColumn id="1" name="Tech Dependency"/>
  </tableColumns>
  <tableStyleInfo name="TableStyleMedium4" showFirstColumn="0" showLastColumn="0" showRowStripes="1" showColumnStripes="0"/>
</table>
</file>

<file path=xl/tables/table6.xml><?xml version="1.0" encoding="utf-8"?>
<table xmlns="http://schemas.openxmlformats.org/spreadsheetml/2006/main" id="6" name="tbl_Plan_Status" displayName="tbl_Plan_Status" ref="J2:J5" totalsRowShown="0">
  <autoFilter ref="J2:J5"/>
  <tableColumns count="1">
    <tableColumn id="1" name="Plan Status"/>
  </tableColumns>
  <tableStyleInfo name="TableStyleMedium4" showFirstColumn="0" showLastColumn="0" showRowStripes="1" showColumnStripes="0"/>
</table>
</file>

<file path=xl/tables/table7.xml><?xml version="1.0" encoding="utf-8"?>
<table xmlns="http://schemas.openxmlformats.org/spreadsheetml/2006/main" id="8" name="tbl_Months" displayName="tbl_Months" ref="L2:L14" totalsRowShown="0">
  <autoFilter ref="L2:L14"/>
  <tableColumns count="1">
    <tableColumn id="1" name="Months"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1.xml"/><Relationship Id="rId3" Type="http://schemas.openxmlformats.org/officeDocument/2006/relationships/pivotTable" Target="../pivotTables/pivotTable6.xml"/><Relationship Id="rId7" Type="http://schemas.openxmlformats.org/officeDocument/2006/relationships/pivotTable" Target="../pivotTables/pivotTable10.xml"/><Relationship Id="rId12" Type="http://schemas.microsoft.com/office/2007/relationships/slicer" Target="../slicers/slicer2.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11" Type="http://schemas.openxmlformats.org/officeDocument/2006/relationships/drawing" Target="../drawings/drawing3.xml"/><Relationship Id="rId5" Type="http://schemas.openxmlformats.org/officeDocument/2006/relationships/pivotTable" Target="../pivotTables/pivotTable8.xml"/><Relationship Id="rId10" Type="http://schemas.openxmlformats.org/officeDocument/2006/relationships/pivotTable" Target="../pivotTables/pivotTable13.xml"/><Relationship Id="rId4" Type="http://schemas.openxmlformats.org/officeDocument/2006/relationships/pivotTable" Target="../pivotTables/pivotTable7.xml"/><Relationship Id="rId9" Type="http://schemas.openxmlformats.org/officeDocument/2006/relationships/pivotTable" Target="../pivotTables/pivotTable12.xml"/></Relationships>
</file>

<file path=xl/worksheets/_rels/sheet4.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21.xml"/><Relationship Id="rId13" Type="http://schemas.microsoft.com/office/2007/relationships/slicer" Target="../slicers/slicer4.xml"/><Relationship Id="rId3" Type="http://schemas.openxmlformats.org/officeDocument/2006/relationships/pivotTable" Target="../pivotTables/pivotTable16.xml"/><Relationship Id="rId7" Type="http://schemas.openxmlformats.org/officeDocument/2006/relationships/pivotTable" Target="../pivotTables/pivotTable20.xml"/><Relationship Id="rId12" Type="http://schemas.openxmlformats.org/officeDocument/2006/relationships/drawing" Target="../drawings/drawing6.xml"/><Relationship Id="rId2" Type="http://schemas.openxmlformats.org/officeDocument/2006/relationships/pivotTable" Target="../pivotTables/pivotTable15.xml"/><Relationship Id="rId1" Type="http://schemas.openxmlformats.org/officeDocument/2006/relationships/pivotTable" Target="../pivotTables/pivotTable14.xml"/><Relationship Id="rId6" Type="http://schemas.openxmlformats.org/officeDocument/2006/relationships/pivotTable" Target="../pivotTables/pivotTable19.xml"/><Relationship Id="rId11" Type="http://schemas.openxmlformats.org/officeDocument/2006/relationships/pivotTable" Target="../pivotTables/pivotTable24.xml"/><Relationship Id="rId5" Type="http://schemas.openxmlformats.org/officeDocument/2006/relationships/pivotTable" Target="../pivotTables/pivotTable18.xml"/><Relationship Id="rId10" Type="http://schemas.openxmlformats.org/officeDocument/2006/relationships/pivotTable" Target="../pivotTables/pivotTable23.xml"/><Relationship Id="rId4" Type="http://schemas.openxmlformats.org/officeDocument/2006/relationships/pivotTable" Target="../pivotTables/pivotTable17.xml"/><Relationship Id="rId9" Type="http://schemas.openxmlformats.org/officeDocument/2006/relationships/pivotTable" Target="../pivotTables/pivotTable22.xml"/></Relationships>
</file>

<file path=xl/worksheets/_rels/sheet7.xml.rels><?xml version="1.0" encoding="UTF-8" standalone="yes"?>
<Relationships xmlns="http://schemas.openxmlformats.org/package/2006/relationships"><Relationship Id="rId2" Type="http://schemas.microsoft.com/office/2007/relationships/slicer" Target="../slicers/slicer5.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1485"/>
  <sheetViews>
    <sheetView showGridLines="0" showRowColHeaders="0" topLeftCell="B1" zoomScale="85" zoomScaleNormal="85" workbookViewId="0">
      <pane ySplit="6" topLeftCell="A7" activePane="bottomLeft" state="frozen"/>
      <selection pane="bottomLeft" activeCell="R10" sqref="R10"/>
    </sheetView>
  </sheetViews>
  <sheetFormatPr defaultColWidth="0" defaultRowHeight="15" zeroHeight="1" x14ac:dyDescent="0.25"/>
  <cols>
    <col min="1" max="1" width="17.140625" style="1" customWidth="1"/>
    <col min="2" max="2" width="15.28515625" style="1" customWidth="1"/>
    <col min="3" max="3" width="18.7109375" customWidth="1"/>
    <col min="4" max="4" width="22.85546875" customWidth="1"/>
    <col min="5" max="5" width="18.85546875" customWidth="1"/>
    <col min="6" max="6" width="35.42578125" style="1" bestFit="1" customWidth="1"/>
    <col min="7" max="7" width="15" style="1" bestFit="1" customWidth="1"/>
    <col min="8" max="8" width="15.5703125" style="1" customWidth="1"/>
    <col min="9" max="9" width="15.28515625" style="1" customWidth="1"/>
    <col min="10" max="10" width="15.85546875" customWidth="1"/>
    <col min="11" max="11" width="17.28515625" customWidth="1"/>
    <col min="12" max="12" width="24" style="1" bestFit="1" customWidth="1"/>
    <col min="13" max="13" width="17" style="1" customWidth="1"/>
    <col min="14" max="14" width="13.85546875" style="1" customWidth="1"/>
    <col min="15" max="15" width="13.7109375" style="1" customWidth="1"/>
    <col min="16" max="16" width="13" style="1" customWidth="1"/>
    <col min="17" max="17" width="20" style="1" customWidth="1"/>
    <col min="18" max="18" width="19.7109375" style="1" customWidth="1"/>
    <col min="19" max="19" width="13.28515625" style="1" customWidth="1"/>
    <col min="20" max="20" width="15.85546875" style="1" customWidth="1"/>
    <col min="21" max="21" width="15" style="1" customWidth="1"/>
    <col min="22" max="16384" width="9.140625" hidden="1"/>
  </cols>
  <sheetData>
    <row r="1" spans="1:21" ht="9" customHeight="1" x14ac:dyDescent="0.25"/>
    <row r="2" spans="1:21" ht="24" customHeight="1" x14ac:dyDescent="0.25">
      <c r="A2" s="49" t="s">
        <v>76</v>
      </c>
      <c r="B2" s="49"/>
      <c r="C2" s="49"/>
      <c r="E2" s="35"/>
      <c r="F2" s="35"/>
      <c r="G2" s="35"/>
      <c r="H2" s="50" t="s">
        <v>41</v>
      </c>
      <c r="I2" s="51"/>
      <c r="J2" s="35"/>
      <c r="K2" s="35"/>
      <c r="L2" s="35"/>
      <c r="M2" s="35"/>
      <c r="N2" s="35"/>
      <c r="O2" s="35"/>
      <c r="P2" s="35"/>
      <c r="Q2" s="35"/>
      <c r="R2" s="35"/>
      <c r="S2" s="35"/>
      <c r="T2" s="35"/>
      <c r="U2" s="35"/>
    </row>
    <row r="3" spans="1:21" ht="15" customHeight="1" x14ac:dyDescent="0.25">
      <c r="A3" s="49"/>
      <c r="B3" s="49"/>
      <c r="C3" s="49"/>
      <c r="E3" s="35"/>
      <c r="F3" s="35"/>
      <c r="G3" s="35"/>
      <c r="H3" s="30" t="s">
        <v>91</v>
      </c>
      <c r="I3" s="38" t="s">
        <v>50</v>
      </c>
      <c r="J3" s="35"/>
      <c r="K3" s="35"/>
      <c r="L3" s="35"/>
      <c r="M3" s="35"/>
      <c r="N3" s="35"/>
      <c r="O3" s="35"/>
      <c r="P3" s="35"/>
      <c r="Q3" s="35"/>
      <c r="R3" s="35"/>
      <c r="S3" s="35"/>
      <c r="T3" s="35"/>
      <c r="U3" s="35"/>
    </row>
    <row r="4" spans="1:21" ht="15" customHeight="1" x14ac:dyDescent="0.25">
      <c r="A4" s="49"/>
      <c r="B4" s="49"/>
      <c r="C4" s="49"/>
      <c r="E4" s="35"/>
      <c r="F4" s="35"/>
      <c r="G4" s="35"/>
      <c r="H4" s="40" t="s">
        <v>61</v>
      </c>
      <c r="I4" s="39">
        <v>2021</v>
      </c>
      <c r="J4" s="35"/>
      <c r="K4" s="35"/>
      <c r="L4" s="35"/>
      <c r="M4" s="35"/>
      <c r="N4" s="35"/>
      <c r="O4" s="35"/>
      <c r="P4" s="35"/>
      <c r="Q4" s="35"/>
      <c r="R4" s="35"/>
      <c r="S4" s="35"/>
      <c r="T4" s="35"/>
      <c r="U4" s="35"/>
    </row>
    <row r="5" spans="1:21" ht="9" customHeight="1" x14ac:dyDescent="0.25"/>
    <row r="6" spans="1:21" s="5" customFormat="1" ht="30" customHeight="1" x14ac:dyDescent="0.25">
      <c r="A6" s="4" t="s">
        <v>1</v>
      </c>
      <c r="B6" s="4" t="s">
        <v>20</v>
      </c>
      <c r="C6" s="4" t="s">
        <v>2</v>
      </c>
      <c r="D6" s="4" t="s">
        <v>3</v>
      </c>
      <c r="E6" s="4" t="s">
        <v>4</v>
      </c>
      <c r="F6" s="4" t="s">
        <v>5</v>
      </c>
      <c r="G6" s="4" t="s">
        <v>6</v>
      </c>
      <c r="H6" s="4" t="s">
        <v>7</v>
      </c>
      <c r="I6" s="4" t="s">
        <v>8</v>
      </c>
      <c r="J6" s="4" t="s">
        <v>9</v>
      </c>
      <c r="K6" s="4" t="s">
        <v>10</v>
      </c>
      <c r="L6" s="4" t="s">
        <v>11</v>
      </c>
      <c r="M6" s="4" t="s">
        <v>37</v>
      </c>
      <c r="N6" s="4" t="s">
        <v>12</v>
      </c>
      <c r="O6" s="4" t="s">
        <v>13</v>
      </c>
      <c r="P6" s="4" t="s">
        <v>14</v>
      </c>
      <c r="Q6" s="4" t="s">
        <v>15</v>
      </c>
      <c r="R6" s="4" t="s">
        <v>16</v>
      </c>
      <c r="S6" s="4" t="s">
        <v>17</v>
      </c>
      <c r="T6" s="4" t="s">
        <v>18</v>
      </c>
      <c r="U6" s="4" t="s">
        <v>19</v>
      </c>
    </row>
    <row r="7" spans="1:21" x14ac:dyDescent="0.25">
      <c r="A7" s="2">
        <v>44199</v>
      </c>
      <c r="B7" s="1" t="s">
        <v>23</v>
      </c>
      <c r="C7" t="s">
        <v>113</v>
      </c>
      <c r="D7" t="s">
        <v>114</v>
      </c>
      <c r="E7" t="s">
        <v>87</v>
      </c>
      <c r="F7" s="29" t="s">
        <v>25</v>
      </c>
      <c r="G7" s="1" t="s">
        <v>28</v>
      </c>
      <c r="H7" s="1">
        <f ca="1">IF(A7="","",IF(ISNUMBER(M7),M7-A7,TODAY()-A7))</f>
        <v>21</v>
      </c>
      <c r="I7" s="1" t="s">
        <v>36</v>
      </c>
      <c r="J7" t="s">
        <v>35</v>
      </c>
      <c r="K7" s="3" t="s">
        <v>115</v>
      </c>
      <c r="L7" s="1" t="s">
        <v>31</v>
      </c>
      <c r="M7" s="2">
        <v>44220</v>
      </c>
      <c r="N7" s="1" t="str">
        <f>IF(M7="","",IF(ISNUMBER(M7),"Closed","Open"))</f>
        <v>Closed</v>
      </c>
      <c r="O7" s="2" t="s">
        <v>36</v>
      </c>
      <c r="P7" s="2" t="s">
        <v>36</v>
      </c>
      <c r="Q7" s="2">
        <v>44220</v>
      </c>
      <c r="R7" s="2">
        <v>44220</v>
      </c>
      <c r="S7" s="1">
        <f>IF(Q7="","",R7-Q7)</f>
        <v>0</v>
      </c>
      <c r="T7" s="1" t="s">
        <v>38</v>
      </c>
      <c r="U7" s="1" t="s">
        <v>34</v>
      </c>
    </row>
    <row r="8" spans="1:21" x14ac:dyDescent="0.25">
      <c r="A8" s="2">
        <v>44197</v>
      </c>
      <c r="B8" s="1" t="s">
        <v>23</v>
      </c>
      <c r="C8" t="s">
        <v>113</v>
      </c>
      <c r="D8" t="s">
        <v>114</v>
      </c>
      <c r="E8" t="s">
        <v>88</v>
      </c>
      <c r="F8" s="29" t="s">
        <v>26</v>
      </c>
      <c r="G8" s="1" t="s">
        <v>29</v>
      </c>
      <c r="H8" s="1">
        <f ca="1">IF(A8="","",IF(ISNUMBER(M8),M8-A8,TODAY()-A8))</f>
        <v>23</v>
      </c>
      <c r="I8" s="1" t="s">
        <v>36</v>
      </c>
      <c r="J8" t="s">
        <v>35</v>
      </c>
      <c r="K8" s="3" t="s">
        <v>115</v>
      </c>
      <c r="L8" s="1" t="s">
        <v>30</v>
      </c>
      <c r="M8" s="2">
        <v>44220</v>
      </c>
      <c r="N8" s="1" t="str">
        <f>IF(M8="","",IF(ISNUMBER(M8),"Closed","Open"))</f>
        <v>Closed</v>
      </c>
      <c r="O8" s="2" t="s">
        <v>36</v>
      </c>
      <c r="P8" s="2" t="s">
        <v>36</v>
      </c>
      <c r="Q8" s="2">
        <v>44220</v>
      </c>
      <c r="R8" s="2">
        <v>44220</v>
      </c>
      <c r="S8" s="1">
        <f>IF(Q8="","",R8-Q8)</f>
        <v>0</v>
      </c>
      <c r="T8" s="1" t="s">
        <v>43</v>
      </c>
      <c r="U8" s="1" t="s">
        <v>34</v>
      </c>
    </row>
    <row r="9" spans="1:21" x14ac:dyDescent="0.25">
      <c r="A9" s="2">
        <v>44511</v>
      </c>
      <c r="B9" s="1" t="s">
        <v>23</v>
      </c>
      <c r="C9" t="s">
        <v>113</v>
      </c>
      <c r="D9" t="s">
        <v>114</v>
      </c>
      <c r="E9" t="s">
        <v>87</v>
      </c>
      <c r="F9" s="29" t="s">
        <v>25</v>
      </c>
      <c r="G9" s="1" t="s">
        <v>28</v>
      </c>
      <c r="H9" s="1">
        <f t="shared" ref="H9:H72" ca="1" si="0">IF(A9="","",IF(ISNUMBER(M9),M9-A9,TODAY()-A9))</f>
        <v>65</v>
      </c>
      <c r="I9" s="1" t="s">
        <v>36</v>
      </c>
      <c r="J9" t="s">
        <v>35</v>
      </c>
      <c r="K9" s="3" t="s">
        <v>115</v>
      </c>
      <c r="L9" s="1" t="s">
        <v>31</v>
      </c>
      <c r="M9" s="2">
        <v>44576</v>
      </c>
      <c r="N9" s="1" t="str">
        <f t="shared" ref="N9:N72" si="1">IF(M9="","",IF(ISNUMBER(M9),"Closed","Open"))</f>
        <v>Closed</v>
      </c>
      <c r="O9" s="2" t="s">
        <v>36</v>
      </c>
      <c r="P9" s="2" t="s">
        <v>36</v>
      </c>
      <c r="Q9" s="2">
        <v>44570</v>
      </c>
      <c r="R9" s="2">
        <v>44588</v>
      </c>
      <c r="S9" s="1">
        <f t="shared" ref="S9:S72" si="2">IF(Q9="","",R9-Q9)</f>
        <v>18</v>
      </c>
      <c r="T9" s="1" t="s">
        <v>38</v>
      </c>
      <c r="U9" s="1" t="s">
        <v>33</v>
      </c>
    </row>
    <row r="10" spans="1:21" x14ac:dyDescent="0.25">
      <c r="A10" s="2">
        <v>44363</v>
      </c>
      <c r="B10" s="1" t="s">
        <v>22</v>
      </c>
      <c r="C10" t="s">
        <v>113</v>
      </c>
      <c r="D10" t="s">
        <v>114</v>
      </c>
      <c r="E10" t="s">
        <v>87</v>
      </c>
      <c r="F10" s="29" t="s">
        <v>27</v>
      </c>
      <c r="G10" s="1" t="s">
        <v>42</v>
      </c>
      <c r="H10" s="1">
        <f t="shared" ca="1" si="0"/>
        <v>20</v>
      </c>
      <c r="I10" s="1" t="s">
        <v>36</v>
      </c>
      <c r="J10" t="s">
        <v>35</v>
      </c>
      <c r="K10" s="3" t="s">
        <v>115</v>
      </c>
      <c r="L10" s="1" t="s">
        <v>31</v>
      </c>
      <c r="M10" s="2">
        <v>44383</v>
      </c>
      <c r="N10" s="1" t="str">
        <f t="shared" si="1"/>
        <v>Closed</v>
      </c>
      <c r="O10" s="2" t="s">
        <v>36</v>
      </c>
      <c r="P10" s="2" t="s">
        <v>36</v>
      </c>
      <c r="Q10" s="2">
        <v>44384</v>
      </c>
      <c r="R10" s="2">
        <v>44384</v>
      </c>
      <c r="S10" s="1">
        <f t="shared" si="2"/>
        <v>0</v>
      </c>
      <c r="T10" s="1" t="s">
        <v>38</v>
      </c>
      <c r="U10" s="1" t="s">
        <v>32</v>
      </c>
    </row>
    <row r="11" spans="1:21" x14ac:dyDescent="0.25">
      <c r="A11" s="2">
        <v>44209</v>
      </c>
      <c r="B11" s="1" t="s">
        <v>24</v>
      </c>
      <c r="C11" t="s">
        <v>113</v>
      </c>
      <c r="D11" t="s">
        <v>114</v>
      </c>
      <c r="E11" t="s">
        <v>88</v>
      </c>
      <c r="F11" s="29" t="s">
        <v>26</v>
      </c>
      <c r="G11" s="1" t="s">
        <v>29</v>
      </c>
      <c r="H11" s="1">
        <f t="shared" ca="1" si="0"/>
        <v>300</v>
      </c>
      <c r="I11" s="1" t="s">
        <v>36</v>
      </c>
      <c r="J11" t="s">
        <v>35</v>
      </c>
      <c r="K11" s="3" t="s">
        <v>115</v>
      </c>
      <c r="L11" s="1" t="s">
        <v>31</v>
      </c>
      <c r="M11" s="2" t="s">
        <v>36</v>
      </c>
      <c r="N11" s="1" t="str">
        <f t="shared" si="1"/>
        <v>Open</v>
      </c>
      <c r="O11" s="2" t="s">
        <v>36</v>
      </c>
      <c r="P11" s="2" t="s">
        <v>36</v>
      </c>
      <c r="Q11" s="2">
        <v>44237</v>
      </c>
      <c r="R11" s="2">
        <v>44237</v>
      </c>
      <c r="S11" s="1">
        <f t="shared" si="2"/>
        <v>0</v>
      </c>
      <c r="T11" s="1" t="s">
        <v>38</v>
      </c>
      <c r="U11" s="1" t="s">
        <v>34</v>
      </c>
    </row>
    <row r="12" spans="1:21" x14ac:dyDescent="0.25">
      <c r="A12" s="2">
        <v>44216</v>
      </c>
      <c r="B12" s="1" t="s">
        <v>22</v>
      </c>
      <c r="C12" t="s">
        <v>113</v>
      </c>
      <c r="D12" t="s">
        <v>114</v>
      </c>
      <c r="E12" t="s">
        <v>89</v>
      </c>
      <c r="F12" s="29" t="s">
        <v>27</v>
      </c>
      <c r="G12" s="1" t="s">
        <v>42</v>
      </c>
      <c r="H12" s="1">
        <f t="shared" ca="1" si="0"/>
        <v>293</v>
      </c>
      <c r="I12" s="1" t="s">
        <v>36</v>
      </c>
      <c r="J12" t="s">
        <v>35</v>
      </c>
      <c r="K12" s="3" t="s">
        <v>115</v>
      </c>
      <c r="L12" s="1" t="s">
        <v>30</v>
      </c>
      <c r="M12" s="2" t="s">
        <v>36</v>
      </c>
      <c r="N12" s="1" t="str">
        <f t="shared" si="1"/>
        <v>Open</v>
      </c>
      <c r="O12" s="2" t="s">
        <v>36</v>
      </c>
      <c r="P12" s="2" t="s">
        <v>36</v>
      </c>
      <c r="Q12" s="2">
        <v>44252</v>
      </c>
      <c r="R12" s="2">
        <v>44252</v>
      </c>
      <c r="S12" s="1">
        <f t="shared" si="2"/>
        <v>0</v>
      </c>
      <c r="T12" s="1" t="s">
        <v>38</v>
      </c>
      <c r="U12" s="1" t="s">
        <v>32</v>
      </c>
    </row>
    <row r="13" spans="1:21" x14ac:dyDescent="0.25">
      <c r="A13" s="2">
        <v>44510</v>
      </c>
      <c r="B13" s="1" t="s">
        <v>22</v>
      </c>
      <c r="C13" t="s">
        <v>113</v>
      </c>
      <c r="D13" t="s">
        <v>114</v>
      </c>
      <c r="E13" t="s">
        <v>90</v>
      </c>
      <c r="F13" s="29" t="s">
        <v>27</v>
      </c>
      <c r="G13" s="1" t="s">
        <v>42</v>
      </c>
      <c r="H13" s="1">
        <f t="shared" ca="1" si="0"/>
        <v>74</v>
      </c>
      <c r="I13" s="1" t="s">
        <v>36</v>
      </c>
      <c r="J13" t="s">
        <v>35</v>
      </c>
      <c r="K13" s="3" t="s">
        <v>115</v>
      </c>
      <c r="L13" s="1" t="s">
        <v>31</v>
      </c>
      <c r="M13" s="2">
        <v>44584</v>
      </c>
      <c r="N13" s="1" t="str">
        <f t="shared" si="1"/>
        <v>Closed</v>
      </c>
      <c r="O13" s="2" t="s">
        <v>36</v>
      </c>
      <c r="P13" s="2" t="s">
        <v>36</v>
      </c>
      <c r="Q13" s="2">
        <v>44572</v>
      </c>
      <c r="R13" s="2">
        <v>44592</v>
      </c>
      <c r="S13" s="1">
        <f t="shared" si="2"/>
        <v>20</v>
      </c>
      <c r="T13" s="1" t="s">
        <v>43</v>
      </c>
      <c r="U13" s="1" t="s">
        <v>32</v>
      </c>
    </row>
    <row r="14" spans="1:21" x14ac:dyDescent="0.25">
      <c r="A14" s="2">
        <v>44241</v>
      </c>
      <c r="B14" s="1" t="s">
        <v>23</v>
      </c>
      <c r="C14" t="s">
        <v>113</v>
      </c>
      <c r="D14" t="s">
        <v>114</v>
      </c>
      <c r="E14" t="s">
        <v>88</v>
      </c>
      <c r="F14" s="29" t="s">
        <v>25</v>
      </c>
      <c r="G14" s="1" t="s">
        <v>28</v>
      </c>
      <c r="H14" s="1">
        <f t="shared" ca="1" si="0"/>
        <v>268</v>
      </c>
      <c r="I14" s="1" t="s">
        <v>36</v>
      </c>
      <c r="J14" t="s">
        <v>35</v>
      </c>
      <c r="K14" s="3" t="s">
        <v>115</v>
      </c>
      <c r="L14" s="1" t="s">
        <v>31</v>
      </c>
      <c r="M14" s="2" t="s">
        <v>36</v>
      </c>
      <c r="N14" s="1" t="str">
        <f t="shared" si="1"/>
        <v>Open</v>
      </c>
      <c r="O14" s="2" t="s">
        <v>36</v>
      </c>
      <c r="P14" s="2" t="s">
        <v>36</v>
      </c>
      <c r="Q14" s="2">
        <v>44276</v>
      </c>
      <c r="R14" s="2">
        <v>44276</v>
      </c>
      <c r="S14" s="1">
        <f t="shared" si="2"/>
        <v>0</v>
      </c>
      <c r="T14" s="1" t="s">
        <v>38</v>
      </c>
      <c r="U14" s="1" t="s">
        <v>33</v>
      </c>
    </row>
    <row r="15" spans="1:21" x14ac:dyDescent="0.25">
      <c r="A15" s="2">
        <v>44257</v>
      </c>
      <c r="B15" s="1" t="s">
        <v>24</v>
      </c>
      <c r="C15" t="s">
        <v>113</v>
      </c>
      <c r="D15" t="s">
        <v>114</v>
      </c>
      <c r="E15" t="s">
        <v>88</v>
      </c>
      <c r="F15" s="29" t="s">
        <v>26</v>
      </c>
      <c r="G15" s="1" t="s">
        <v>29</v>
      </c>
      <c r="H15" s="1">
        <f t="shared" ca="1" si="0"/>
        <v>252</v>
      </c>
      <c r="I15" s="1" t="s">
        <v>36</v>
      </c>
      <c r="J15" t="s">
        <v>35</v>
      </c>
      <c r="K15" s="3" t="s">
        <v>115</v>
      </c>
      <c r="L15" s="1" t="s">
        <v>31</v>
      </c>
      <c r="M15" s="2" t="s">
        <v>36</v>
      </c>
      <c r="N15" s="1" t="str">
        <f t="shared" si="1"/>
        <v>Open</v>
      </c>
      <c r="O15" s="2" t="s">
        <v>36</v>
      </c>
      <c r="P15" s="2" t="s">
        <v>36</v>
      </c>
      <c r="Q15" s="2">
        <v>44295</v>
      </c>
      <c r="R15" s="2">
        <v>44295</v>
      </c>
      <c r="S15" s="1">
        <f t="shared" si="2"/>
        <v>0</v>
      </c>
      <c r="T15" s="1" t="s">
        <v>38</v>
      </c>
      <c r="U15" s="1" t="s">
        <v>34</v>
      </c>
    </row>
    <row r="16" spans="1:21" x14ac:dyDescent="0.25">
      <c r="A16" s="2">
        <v>44444</v>
      </c>
      <c r="B16" s="1" t="s">
        <v>22</v>
      </c>
      <c r="C16" t="s">
        <v>113</v>
      </c>
      <c r="D16" t="s">
        <v>114</v>
      </c>
      <c r="E16" t="s">
        <v>89</v>
      </c>
      <c r="F16" s="29" t="s">
        <v>27</v>
      </c>
      <c r="G16" s="1" t="s">
        <v>42</v>
      </c>
      <c r="H16" s="1">
        <f t="shared" ca="1" si="0"/>
        <v>61</v>
      </c>
      <c r="I16" s="1" t="s">
        <v>36</v>
      </c>
      <c r="J16" t="s">
        <v>35</v>
      </c>
      <c r="K16" s="3" t="s">
        <v>115</v>
      </c>
      <c r="L16" s="1" t="s">
        <v>31</v>
      </c>
      <c r="M16" s="2">
        <v>44505</v>
      </c>
      <c r="N16" s="1" t="str">
        <f t="shared" si="1"/>
        <v>Closed</v>
      </c>
      <c r="O16" s="2" t="s">
        <v>36</v>
      </c>
      <c r="P16" s="2" t="s">
        <v>36</v>
      </c>
      <c r="Q16" s="2">
        <v>44512</v>
      </c>
      <c r="R16" s="2">
        <v>44512</v>
      </c>
      <c r="S16" s="1">
        <f t="shared" si="2"/>
        <v>0</v>
      </c>
      <c r="T16" s="1" t="s">
        <v>43</v>
      </c>
      <c r="U16" s="1" t="s">
        <v>32</v>
      </c>
    </row>
    <row r="17" spans="1:21" x14ac:dyDescent="0.25">
      <c r="A17" s="2">
        <v>44420</v>
      </c>
      <c r="B17" s="1" t="s">
        <v>22</v>
      </c>
      <c r="C17" t="s">
        <v>113</v>
      </c>
      <c r="D17" t="s">
        <v>114</v>
      </c>
      <c r="E17" t="s">
        <v>89</v>
      </c>
      <c r="F17" s="29" t="s">
        <v>27</v>
      </c>
      <c r="G17" s="1" t="s">
        <v>42</v>
      </c>
      <c r="H17" s="1">
        <f t="shared" ca="1" si="0"/>
        <v>70</v>
      </c>
      <c r="I17" s="1" t="s">
        <v>36</v>
      </c>
      <c r="J17" t="s">
        <v>35</v>
      </c>
      <c r="K17" s="3" t="s">
        <v>115</v>
      </c>
      <c r="L17" s="1" t="s">
        <v>31</v>
      </c>
      <c r="M17" s="2">
        <v>44490</v>
      </c>
      <c r="N17" s="1" t="str">
        <f t="shared" si="1"/>
        <v>Closed</v>
      </c>
      <c r="O17" s="2" t="s">
        <v>36</v>
      </c>
      <c r="P17" s="2" t="s">
        <v>36</v>
      </c>
      <c r="Q17" s="2">
        <v>44498</v>
      </c>
      <c r="R17" s="2">
        <v>44498</v>
      </c>
      <c r="S17" s="1">
        <f t="shared" si="2"/>
        <v>0</v>
      </c>
      <c r="T17" s="1" t="s">
        <v>38</v>
      </c>
      <c r="U17" s="1" t="s">
        <v>32</v>
      </c>
    </row>
    <row r="18" spans="1:21" x14ac:dyDescent="0.25">
      <c r="A18" s="2">
        <v>44232</v>
      </c>
      <c r="B18" s="1" t="s">
        <v>23</v>
      </c>
      <c r="C18" t="s">
        <v>113</v>
      </c>
      <c r="D18" t="s">
        <v>114</v>
      </c>
      <c r="E18" t="s">
        <v>89</v>
      </c>
      <c r="F18" s="29" t="s">
        <v>25</v>
      </c>
      <c r="G18" s="1" t="s">
        <v>28</v>
      </c>
      <c r="H18" s="1">
        <f t="shared" ca="1" si="0"/>
        <v>36</v>
      </c>
      <c r="I18" s="1" t="s">
        <v>36</v>
      </c>
      <c r="J18" t="s">
        <v>35</v>
      </c>
      <c r="K18" s="3" t="s">
        <v>115</v>
      </c>
      <c r="L18" s="1" t="s">
        <v>31</v>
      </c>
      <c r="M18" s="2">
        <v>44268</v>
      </c>
      <c r="N18" s="1" t="str">
        <f t="shared" si="1"/>
        <v>Closed</v>
      </c>
      <c r="O18" s="2" t="s">
        <v>36</v>
      </c>
      <c r="P18" s="2" t="s">
        <v>36</v>
      </c>
      <c r="Q18" s="2">
        <v>44282</v>
      </c>
      <c r="R18" s="2">
        <v>44282</v>
      </c>
      <c r="S18" s="1">
        <f t="shared" si="2"/>
        <v>0</v>
      </c>
      <c r="T18" s="1" t="s">
        <v>43</v>
      </c>
      <c r="U18" s="1" t="s">
        <v>33</v>
      </c>
    </row>
    <row r="19" spans="1:21" x14ac:dyDescent="0.25">
      <c r="A19" s="2">
        <v>44545</v>
      </c>
      <c r="B19" s="1" t="s">
        <v>24</v>
      </c>
      <c r="C19" t="s">
        <v>113</v>
      </c>
      <c r="D19" t="s">
        <v>114</v>
      </c>
      <c r="E19" t="s">
        <v>88</v>
      </c>
      <c r="F19" s="29" t="s">
        <v>26</v>
      </c>
      <c r="G19" s="1" t="s">
        <v>29</v>
      </c>
      <c r="H19" s="1">
        <f t="shared" ca="1" si="0"/>
        <v>22</v>
      </c>
      <c r="I19" s="1" t="s">
        <v>36</v>
      </c>
      <c r="J19" t="s">
        <v>35</v>
      </c>
      <c r="K19" s="3" t="s">
        <v>115</v>
      </c>
      <c r="L19" s="1" t="s">
        <v>30</v>
      </c>
      <c r="M19" s="2">
        <v>44567</v>
      </c>
      <c r="N19" s="1" t="str">
        <f t="shared" si="1"/>
        <v>Closed</v>
      </c>
      <c r="O19" s="2" t="s">
        <v>36</v>
      </c>
      <c r="P19" s="2" t="s">
        <v>36</v>
      </c>
      <c r="Q19" s="2">
        <v>44573</v>
      </c>
      <c r="R19" s="2">
        <v>44573</v>
      </c>
      <c r="S19" s="1">
        <f t="shared" si="2"/>
        <v>0</v>
      </c>
      <c r="T19" s="1" t="s">
        <v>43</v>
      </c>
      <c r="U19" s="1" t="s">
        <v>34</v>
      </c>
    </row>
    <row r="20" spans="1:21" x14ac:dyDescent="0.25">
      <c r="A20" s="2">
        <v>44256</v>
      </c>
      <c r="B20" s="1" t="s">
        <v>23</v>
      </c>
      <c r="C20" t="s">
        <v>113</v>
      </c>
      <c r="D20" t="s">
        <v>114</v>
      </c>
      <c r="E20" t="s">
        <v>89</v>
      </c>
      <c r="F20" s="29" t="s">
        <v>25</v>
      </c>
      <c r="G20" s="1" t="s">
        <v>28</v>
      </c>
      <c r="H20" s="1">
        <f t="shared" ca="1" si="0"/>
        <v>253</v>
      </c>
      <c r="I20" s="1" t="s">
        <v>36</v>
      </c>
      <c r="J20" t="s">
        <v>35</v>
      </c>
      <c r="K20" s="3" t="s">
        <v>115</v>
      </c>
      <c r="L20" s="1" t="s">
        <v>30</v>
      </c>
      <c r="M20" s="2" t="s">
        <v>36</v>
      </c>
      <c r="N20" s="1" t="str">
        <f t="shared" si="1"/>
        <v>Open</v>
      </c>
      <c r="O20" s="2" t="s">
        <v>36</v>
      </c>
      <c r="P20" s="2" t="s">
        <v>36</v>
      </c>
      <c r="Q20" s="2">
        <v>44286</v>
      </c>
      <c r="R20" s="2">
        <v>44286</v>
      </c>
      <c r="S20" s="1">
        <f t="shared" si="2"/>
        <v>0</v>
      </c>
      <c r="T20" s="1" t="s">
        <v>43</v>
      </c>
      <c r="U20" s="1" t="s">
        <v>33</v>
      </c>
    </row>
    <row r="21" spans="1:21" x14ac:dyDescent="0.25">
      <c r="A21" s="2">
        <v>44400</v>
      </c>
      <c r="B21" s="1" t="s">
        <v>23</v>
      </c>
      <c r="C21" t="s">
        <v>113</v>
      </c>
      <c r="D21" t="s">
        <v>114</v>
      </c>
      <c r="E21" t="s">
        <v>89</v>
      </c>
      <c r="F21" s="29" t="s">
        <v>25</v>
      </c>
      <c r="G21" s="1" t="s">
        <v>28</v>
      </c>
      <c r="H21" s="1">
        <f t="shared" ca="1" si="0"/>
        <v>109</v>
      </c>
      <c r="I21" s="1" t="s">
        <v>36</v>
      </c>
      <c r="J21" t="s">
        <v>35</v>
      </c>
      <c r="K21" s="3" t="s">
        <v>115</v>
      </c>
      <c r="L21" s="1" t="s">
        <v>30</v>
      </c>
      <c r="M21" s="2" t="s">
        <v>36</v>
      </c>
      <c r="N21" s="1" t="str">
        <f t="shared" si="1"/>
        <v>Open</v>
      </c>
      <c r="O21" s="2" t="s">
        <v>36</v>
      </c>
      <c r="P21" s="2" t="s">
        <v>36</v>
      </c>
      <c r="Q21" s="2">
        <v>44432</v>
      </c>
      <c r="R21" s="2">
        <v>44432</v>
      </c>
      <c r="S21" s="1">
        <f t="shared" si="2"/>
        <v>0</v>
      </c>
      <c r="T21" s="1" t="s">
        <v>43</v>
      </c>
      <c r="U21" s="1" t="s">
        <v>33</v>
      </c>
    </row>
    <row r="22" spans="1:21" x14ac:dyDescent="0.25">
      <c r="A22" s="2">
        <v>44432</v>
      </c>
      <c r="B22" s="1" t="s">
        <v>22</v>
      </c>
      <c r="C22" t="s">
        <v>113</v>
      </c>
      <c r="D22" t="s">
        <v>114</v>
      </c>
      <c r="E22" t="s">
        <v>89</v>
      </c>
      <c r="F22" s="29" t="s">
        <v>27</v>
      </c>
      <c r="G22" s="1" t="s">
        <v>42</v>
      </c>
      <c r="H22" s="1">
        <f t="shared" ca="1" si="0"/>
        <v>62</v>
      </c>
      <c r="I22" s="1" t="s">
        <v>36</v>
      </c>
      <c r="J22" t="s">
        <v>35</v>
      </c>
      <c r="K22" s="3" t="s">
        <v>115</v>
      </c>
      <c r="L22" s="1" t="s">
        <v>31</v>
      </c>
      <c r="M22" s="2">
        <v>44494</v>
      </c>
      <c r="N22" s="1" t="str">
        <f t="shared" si="1"/>
        <v>Closed</v>
      </c>
      <c r="O22" s="2" t="s">
        <v>36</v>
      </c>
      <c r="P22" s="2" t="s">
        <v>36</v>
      </c>
      <c r="Q22" s="2">
        <v>44504</v>
      </c>
      <c r="R22" s="2">
        <v>44504</v>
      </c>
      <c r="S22" s="1">
        <f t="shared" si="2"/>
        <v>0</v>
      </c>
      <c r="T22" s="1" t="s">
        <v>43</v>
      </c>
      <c r="U22" s="1" t="s">
        <v>32</v>
      </c>
    </row>
    <row r="23" spans="1:21" x14ac:dyDescent="0.25">
      <c r="A23" s="2">
        <v>44398</v>
      </c>
      <c r="B23" s="1" t="s">
        <v>24</v>
      </c>
      <c r="C23" t="s">
        <v>113</v>
      </c>
      <c r="D23" t="s">
        <v>114</v>
      </c>
      <c r="E23" t="s">
        <v>90</v>
      </c>
      <c r="F23" s="29" t="s">
        <v>26</v>
      </c>
      <c r="G23" s="1" t="s">
        <v>29</v>
      </c>
      <c r="H23" s="1">
        <f t="shared" ca="1" si="0"/>
        <v>60</v>
      </c>
      <c r="I23" s="1" t="s">
        <v>36</v>
      </c>
      <c r="J23" t="s">
        <v>35</v>
      </c>
      <c r="K23" s="3" t="s">
        <v>115</v>
      </c>
      <c r="L23" s="1" t="s">
        <v>31</v>
      </c>
      <c r="M23" s="2">
        <v>44458</v>
      </c>
      <c r="N23" s="1" t="str">
        <f t="shared" si="1"/>
        <v>Closed</v>
      </c>
      <c r="O23" s="2" t="s">
        <v>36</v>
      </c>
      <c r="P23" s="2" t="s">
        <v>36</v>
      </c>
      <c r="Q23" s="2">
        <v>44464</v>
      </c>
      <c r="R23" s="2">
        <v>44464</v>
      </c>
      <c r="S23" s="1">
        <f t="shared" si="2"/>
        <v>0</v>
      </c>
      <c r="T23" s="1" t="s">
        <v>38</v>
      </c>
      <c r="U23" s="1" t="s">
        <v>34</v>
      </c>
    </row>
    <row r="24" spans="1:21" x14ac:dyDescent="0.25">
      <c r="A24" s="2">
        <v>44507</v>
      </c>
      <c r="B24" s="1" t="s">
        <v>22</v>
      </c>
      <c r="C24" t="s">
        <v>113</v>
      </c>
      <c r="D24" t="s">
        <v>114</v>
      </c>
      <c r="E24" t="s">
        <v>87</v>
      </c>
      <c r="F24" s="29" t="s">
        <v>27</v>
      </c>
      <c r="G24" s="1" t="s">
        <v>42</v>
      </c>
      <c r="H24" s="1">
        <f t="shared" ca="1" si="0"/>
        <v>47</v>
      </c>
      <c r="I24" s="1" t="s">
        <v>36</v>
      </c>
      <c r="J24" t="s">
        <v>35</v>
      </c>
      <c r="K24" s="3" t="s">
        <v>115</v>
      </c>
      <c r="L24" s="1" t="s">
        <v>31</v>
      </c>
      <c r="M24" s="2">
        <v>44554</v>
      </c>
      <c r="N24" s="1" t="str">
        <f t="shared" si="1"/>
        <v>Closed</v>
      </c>
      <c r="O24" s="2" t="s">
        <v>36</v>
      </c>
      <c r="P24" s="2" t="s">
        <v>36</v>
      </c>
      <c r="Q24" s="2">
        <v>44564</v>
      </c>
      <c r="R24" s="2">
        <v>44564</v>
      </c>
      <c r="S24" s="1">
        <f t="shared" si="2"/>
        <v>0</v>
      </c>
      <c r="T24" s="1" t="s">
        <v>43</v>
      </c>
      <c r="U24" s="1" t="s">
        <v>32</v>
      </c>
    </row>
    <row r="25" spans="1:21" x14ac:dyDescent="0.25">
      <c r="A25" s="2">
        <v>44219</v>
      </c>
      <c r="B25" s="1" t="s">
        <v>22</v>
      </c>
      <c r="C25" t="s">
        <v>113</v>
      </c>
      <c r="D25" t="s">
        <v>114</v>
      </c>
      <c r="E25" t="s">
        <v>87</v>
      </c>
      <c r="F25" s="29" t="s">
        <v>27</v>
      </c>
      <c r="G25" s="1" t="s">
        <v>42</v>
      </c>
      <c r="H25" s="1">
        <f t="shared" ca="1" si="0"/>
        <v>64</v>
      </c>
      <c r="I25" s="1" t="s">
        <v>36</v>
      </c>
      <c r="J25" t="s">
        <v>35</v>
      </c>
      <c r="K25" s="3" t="s">
        <v>115</v>
      </c>
      <c r="L25" s="1" t="s">
        <v>30</v>
      </c>
      <c r="M25" s="2">
        <v>44283</v>
      </c>
      <c r="N25" s="1" t="str">
        <f t="shared" si="1"/>
        <v>Closed</v>
      </c>
      <c r="O25" s="2" t="s">
        <v>36</v>
      </c>
      <c r="P25" s="2" t="s">
        <v>36</v>
      </c>
      <c r="Q25" s="2">
        <v>44284</v>
      </c>
      <c r="R25" s="2">
        <v>44284</v>
      </c>
      <c r="S25" s="1">
        <f t="shared" si="2"/>
        <v>0</v>
      </c>
      <c r="T25" s="1" t="s">
        <v>38</v>
      </c>
      <c r="U25" s="1" t="s">
        <v>32</v>
      </c>
    </row>
    <row r="26" spans="1:21" x14ac:dyDescent="0.25">
      <c r="A26" s="2">
        <v>44412</v>
      </c>
      <c r="B26" s="1" t="s">
        <v>23</v>
      </c>
      <c r="C26" t="s">
        <v>113</v>
      </c>
      <c r="D26" t="s">
        <v>114</v>
      </c>
      <c r="E26" t="s">
        <v>89</v>
      </c>
      <c r="F26" s="29" t="s">
        <v>25</v>
      </c>
      <c r="G26" s="1" t="s">
        <v>28</v>
      </c>
      <c r="H26" s="1">
        <f t="shared" ca="1" si="0"/>
        <v>71</v>
      </c>
      <c r="I26" s="1" t="s">
        <v>36</v>
      </c>
      <c r="J26" t="s">
        <v>35</v>
      </c>
      <c r="K26" s="3" t="s">
        <v>115</v>
      </c>
      <c r="L26" s="1" t="s">
        <v>30</v>
      </c>
      <c r="M26" s="2">
        <v>44483</v>
      </c>
      <c r="N26" s="1" t="str">
        <f t="shared" si="1"/>
        <v>Closed</v>
      </c>
      <c r="O26" s="2" t="s">
        <v>36</v>
      </c>
      <c r="P26" s="2" t="s">
        <v>36</v>
      </c>
      <c r="Q26" s="2">
        <v>44495</v>
      </c>
      <c r="R26" s="2">
        <v>44495</v>
      </c>
      <c r="S26" s="1">
        <f t="shared" si="2"/>
        <v>0</v>
      </c>
      <c r="T26" s="1" t="s">
        <v>38</v>
      </c>
      <c r="U26" s="1" t="s">
        <v>33</v>
      </c>
    </row>
    <row r="27" spans="1:21" x14ac:dyDescent="0.25">
      <c r="A27" s="2">
        <v>44257</v>
      </c>
      <c r="B27" s="1" t="s">
        <v>24</v>
      </c>
      <c r="C27" t="s">
        <v>113</v>
      </c>
      <c r="D27" t="s">
        <v>114</v>
      </c>
      <c r="E27" t="s">
        <v>88</v>
      </c>
      <c r="F27" s="29" t="s">
        <v>26</v>
      </c>
      <c r="G27" s="1" t="s">
        <v>29</v>
      </c>
      <c r="H27" s="1">
        <f t="shared" ca="1" si="0"/>
        <v>22</v>
      </c>
      <c r="I27" s="1" t="s">
        <v>36</v>
      </c>
      <c r="J27" t="s">
        <v>35</v>
      </c>
      <c r="K27" s="3" t="s">
        <v>115</v>
      </c>
      <c r="L27" s="1" t="s">
        <v>30</v>
      </c>
      <c r="M27" s="2">
        <v>44279</v>
      </c>
      <c r="N27" s="1" t="str">
        <f t="shared" si="1"/>
        <v>Closed</v>
      </c>
      <c r="O27" s="2" t="s">
        <v>36</v>
      </c>
      <c r="P27" s="2" t="s">
        <v>36</v>
      </c>
      <c r="Q27" s="2">
        <v>44292</v>
      </c>
      <c r="R27" s="2">
        <v>44292</v>
      </c>
      <c r="S27" s="1">
        <f t="shared" si="2"/>
        <v>0</v>
      </c>
      <c r="T27" s="1" t="s">
        <v>38</v>
      </c>
      <c r="U27" s="1" t="s">
        <v>34</v>
      </c>
    </row>
    <row r="28" spans="1:21" x14ac:dyDescent="0.25">
      <c r="A28" s="2">
        <v>44375</v>
      </c>
      <c r="B28" s="1" t="s">
        <v>22</v>
      </c>
      <c r="C28" t="s">
        <v>113</v>
      </c>
      <c r="D28" t="s">
        <v>114</v>
      </c>
      <c r="E28" t="s">
        <v>87</v>
      </c>
      <c r="F28" s="29" t="s">
        <v>27</v>
      </c>
      <c r="G28" s="1" t="s">
        <v>42</v>
      </c>
      <c r="H28" s="1">
        <f t="shared" ca="1" si="0"/>
        <v>33</v>
      </c>
      <c r="I28" s="1" t="s">
        <v>36</v>
      </c>
      <c r="J28" t="s">
        <v>35</v>
      </c>
      <c r="K28" s="3" t="s">
        <v>115</v>
      </c>
      <c r="L28" s="1" t="s">
        <v>30</v>
      </c>
      <c r="M28" s="2">
        <v>44408</v>
      </c>
      <c r="N28" s="1" t="str">
        <f t="shared" si="1"/>
        <v>Closed</v>
      </c>
      <c r="O28" s="2" t="s">
        <v>36</v>
      </c>
      <c r="P28" s="2" t="s">
        <v>36</v>
      </c>
      <c r="Q28" s="2">
        <v>44404</v>
      </c>
      <c r="R28" s="2">
        <v>44416</v>
      </c>
      <c r="S28" s="1">
        <f t="shared" si="2"/>
        <v>12</v>
      </c>
      <c r="T28" s="1" t="s">
        <v>43</v>
      </c>
      <c r="U28" s="1" t="s">
        <v>32</v>
      </c>
    </row>
    <row r="29" spans="1:21" x14ac:dyDescent="0.25">
      <c r="A29" s="2">
        <v>44307</v>
      </c>
      <c r="B29" s="1" t="s">
        <v>23</v>
      </c>
      <c r="C29" t="s">
        <v>113</v>
      </c>
      <c r="D29" t="s">
        <v>114</v>
      </c>
      <c r="E29" t="s">
        <v>87</v>
      </c>
      <c r="F29" s="29" t="s">
        <v>25</v>
      </c>
      <c r="G29" s="1" t="s">
        <v>28</v>
      </c>
      <c r="H29" s="1">
        <f t="shared" ca="1" si="0"/>
        <v>38</v>
      </c>
      <c r="I29" s="1" t="s">
        <v>36</v>
      </c>
      <c r="J29" t="s">
        <v>35</v>
      </c>
      <c r="K29" s="3" t="s">
        <v>115</v>
      </c>
      <c r="L29" s="1" t="s">
        <v>30</v>
      </c>
      <c r="M29" s="2">
        <v>44345</v>
      </c>
      <c r="N29" s="1" t="str">
        <f t="shared" si="1"/>
        <v>Closed</v>
      </c>
      <c r="O29" s="2" t="s">
        <v>36</v>
      </c>
      <c r="P29" s="2" t="s">
        <v>36</v>
      </c>
      <c r="Q29" s="2">
        <v>44350</v>
      </c>
      <c r="R29" s="2">
        <v>44350</v>
      </c>
      <c r="S29" s="1">
        <f t="shared" si="2"/>
        <v>0</v>
      </c>
      <c r="T29" s="1" t="s">
        <v>43</v>
      </c>
      <c r="U29" s="1" t="s">
        <v>33</v>
      </c>
    </row>
    <row r="30" spans="1:21" x14ac:dyDescent="0.25">
      <c r="A30" s="2">
        <v>44338</v>
      </c>
      <c r="B30" s="1" t="s">
        <v>24</v>
      </c>
      <c r="C30" t="s">
        <v>113</v>
      </c>
      <c r="D30" t="s">
        <v>114</v>
      </c>
      <c r="E30" t="s">
        <v>90</v>
      </c>
      <c r="F30" s="29" t="s">
        <v>26</v>
      </c>
      <c r="G30" s="1" t="s">
        <v>29</v>
      </c>
      <c r="H30" s="1">
        <f t="shared" ca="1" si="0"/>
        <v>79</v>
      </c>
      <c r="I30" s="1" t="s">
        <v>36</v>
      </c>
      <c r="J30" t="s">
        <v>35</v>
      </c>
      <c r="K30" s="3" t="s">
        <v>115</v>
      </c>
      <c r="L30" s="1" t="s">
        <v>30</v>
      </c>
      <c r="M30" s="2">
        <v>44417</v>
      </c>
      <c r="N30" s="1" t="str">
        <f t="shared" si="1"/>
        <v>Closed</v>
      </c>
      <c r="O30" s="2" t="s">
        <v>36</v>
      </c>
      <c r="P30" s="2" t="s">
        <v>36</v>
      </c>
      <c r="Q30" s="2">
        <v>44418</v>
      </c>
      <c r="R30" s="2">
        <v>44418</v>
      </c>
      <c r="S30" s="1">
        <f t="shared" si="2"/>
        <v>0</v>
      </c>
      <c r="T30" s="1" t="s">
        <v>38</v>
      </c>
      <c r="U30" s="1" t="s">
        <v>34</v>
      </c>
    </row>
    <row r="31" spans="1:21" x14ac:dyDescent="0.25">
      <c r="A31" s="2">
        <v>44554</v>
      </c>
      <c r="B31" s="1" t="s">
        <v>24</v>
      </c>
      <c r="C31" t="s">
        <v>113</v>
      </c>
      <c r="D31" t="s">
        <v>114</v>
      </c>
      <c r="E31" t="s">
        <v>90</v>
      </c>
      <c r="F31" s="29" t="s">
        <v>26</v>
      </c>
      <c r="G31" s="1" t="s">
        <v>29</v>
      </c>
      <c r="H31" s="1">
        <f t="shared" ca="1" si="0"/>
        <v>53</v>
      </c>
      <c r="I31" s="1" t="s">
        <v>36</v>
      </c>
      <c r="J31" t="s">
        <v>35</v>
      </c>
      <c r="K31" s="3" t="s">
        <v>115</v>
      </c>
      <c r="L31" s="1" t="s">
        <v>31</v>
      </c>
      <c r="M31" s="2">
        <v>44607</v>
      </c>
      <c r="N31" s="1" t="str">
        <f t="shared" si="1"/>
        <v>Closed</v>
      </c>
      <c r="O31" s="2" t="s">
        <v>36</v>
      </c>
      <c r="P31" s="2" t="s">
        <v>36</v>
      </c>
      <c r="Q31" s="2">
        <v>44616</v>
      </c>
      <c r="R31" s="2">
        <v>44616</v>
      </c>
      <c r="S31" s="1">
        <f t="shared" si="2"/>
        <v>0</v>
      </c>
      <c r="T31" s="1" t="s">
        <v>43</v>
      </c>
      <c r="U31" s="1" t="s">
        <v>34</v>
      </c>
    </row>
    <row r="32" spans="1:21" x14ac:dyDescent="0.25">
      <c r="A32" s="2">
        <v>44419</v>
      </c>
      <c r="B32" s="1" t="s">
        <v>24</v>
      </c>
      <c r="C32" t="s">
        <v>113</v>
      </c>
      <c r="D32" t="s">
        <v>114</v>
      </c>
      <c r="E32" t="s">
        <v>87</v>
      </c>
      <c r="F32" s="29" t="s">
        <v>26</v>
      </c>
      <c r="G32" s="1" t="s">
        <v>29</v>
      </c>
      <c r="H32" s="1">
        <f t="shared" ca="1" si="0"/>
        <v>90</v>
      </c>
      <c r="I32" s="1" t="s">
        <v>36</v>
      </c>
      <c r="J32" t="s">
        <v>35</v>
      </c>
      <c r="K32" s="3" t="s">
        <v>115</v>
      </c>
      <c r="L32" s="1" t="s">
        <v>31</v>
      </c>
      <c r="M32" s="2" t="s">
        <v>36</v>
      </c>
      <c r="N32" s="1" t="str">
        <f t="shared" si="1"/>
        <v>Open</v>
      </c>
      <c r="O32" s="2" t="s">
        <v>36</v>
      </c>
      <c r="P32" s="2" t="s">
        <v>36</v>
      </c>
      <c r="Q32" s="2">
        <v>44454</v>
      </c>
      <c r="R32" s="2">
        <v>44454</v>
      </c>
      <c r="S32" s="1">
        <f t="shared" si="2"/>
        <v>0</v>
      </c>
      <c r="T32" s="1" t="s">
        <v>43</v>
      </c>
      <c r="U32" s="1" t="s">
        <v>34</v>
      </c>
    </row>
    <row r="33" spans="1:21" x14ac:dyDescent="0.25">
      <c r="A33" s="2">
        <v>44212</v>
      </c>
      <c r="B33" s="1" t="s">
        <v>24</v>
      </c>
      <c r="C33" t="s">
        <v>113</v>
      </c>
      <c r="D33" t="s">
        <v>114</v>
      </c>
      <c r="E33" t="s">
        <v>89</v>
      </c>
      <c r="F33" s="29" t="s">
        <v>26</v>
      </c>
      <c r="G33" s="1" t="s">
        <v>29</v>
      </c>
      <c r="H33" s="1">
        <f t="shared" ca="1" si="0"/>
        <v>44</v>
      </c>
      <c r="I33" s="1" t="s">
        <v>36</v>
      </c>
      <c r="J33" t="s">
        <v>35</v>
      </c>
      <c r="K33" s="3" t="s">
        <v>115</v>
      </c>
      <c r="L33" s="1" t="s">
        <v>31</v>
      </c>
      <c r="M33" s="2">
        <v>44256</v>
      </c>
      <c r="N33" s="1" t="str">
        <f t="shared" si="1"/>
        <v>Closed</v>
      </c>
      <c r="O33" s="2" t="s">
        <v>36</v>
      </c>
      <c r="P33" s="2" t="s">
        <v>36</v>
      </c>
      <c r="Q33" s="2">
        <v>44248</v>
      </c>
      <c r="R33" s="2">
        <v>44267</v>
      </c>
      <c r="S33" s="1">
        <f t="shared" si="2"/>
        <v>19</v>
      </c>
      <c r="T33" s="1" t="s">
        <v>43</v>
      </c>
      <c r="U33" s="1" t="s">
        <v>34</v>
      </c>
    </row>
    <row r="34" spans="1:21" x14ac:dyDescent="0.25">
      <c r="A34" s="2">
        <v>44438</v>
      </c>
      <c r="B34" s="1" t="s">
        <v>22</v>
      </c>
      <c r="C34" t="s">
        <v>113</v>
      </c>
      <c r="D34" t="s">
        <v>114</v>
      </c>
      <c r="E34" t="s">
        <v>90</v>
      </c>
      <c r="F34" s="29" t="s">
        <v>27</v>
      </c>
      <c r="G34" s="1" t="s">
        <v>42</v>
      </c>
      <c r="H34" s="1">
        <f t="shared" ca="1" si="0"/>
        <v>72</v>
      </c>
      <c r="I34" s="1" t="s">
        <v>36</v>
      </c>
      <c r="J34" t="s">
        <v>35</v>
      </c>
      <c r="K34" s="3" t="s">
        <v>115</v>
      </c>
      <c r="L34" s="1" t="s">
        <v>31</v>
      </c>
      <c r="M34" s="2">
        <v>44510</v>
      </c>
      <c r="N34" s="1" t="str">
        <f t="shared" si="1"/>
        <v>Closed</v>
      </c>
      <c r="O34" s="2" t="s">
        <v>36</v>
      </c>
      <c r="P34" s="2" t="s">
        <v>36</v>
      </c>
      <c r="Q34" s="2">
        <v>44525</v>
      </c>
      <c r="R34" s="2">
        <v>44525</v>
      </c>
      <c r="S34" s="1">
        <f t="shared" si="2"/>
        <v>0</v>
      </c>
      <c r="T34" s="1" t="s">
        <v>43</v>
      </c>
      <c r="U34" s="1" t="s">
        <v>32</v>
      </c>
    </row>
    <row r="35" spans="1:21" x14ac:dyDescent="0.25">
      <c r="A35" s="2">
        <v>44223</v>
      </c>
      <c r="B35" s="1" t="s">
        <v>23</v>
      </c>
      <c r="C35" t="s">
        <v>113</v>
      </c>
      <c r="D35" t="s">
        <v>114</v>
      </c>
      <c r="E35" t="s">
        <v>87</v>
      </c>
      <c r="F35" s="29" t="s">
        <v>25</v>
      </c>
      <c r="G35" s="1" t="s">
        <v>28</v>
      </c>
      <c r="H35" s="1">
        <f t="shared" ca="1" si="0"/>
        <v>29</v>
      </c>
      <c r="I35" s="1" t="s">
        <v>36</v>
      </c>
      <c r="J35" t="s">
        <v>35</v>
      </c>
      <c r="K35" s="3" t="s">
        <v>115</v>
      </c>
      <c r="L35" s="1" t="s">
        <v>30</v>
      </c>
      <c r="M35" s="2">
        <v>44252</v>
      </c>
      <c r="N35" s="1" t="str">
        <f t="shared" si="1"/>
        <v>Closed</v>
      </c>
      <c r="O35" s="2" t="s">
        <v>36</v>
      </c>
      <c r="P35" s="2" t="s">
        <v>36</v>
      </c>
      <c r="Q35" s="2">
        <v>44260</v>
      </c>
      <c r="R35" s="2">
        <v>44260</v>
      </c>
      <c r="S35" s="1">
        <f t="shared" si="2"/>
        <v>0</v>
      </c>
      <c r="T35" s="1" t="s">
        <v>38</v>
      </c>
      <c r="U35" s="1" t="s">
        <v>33</v>
      </c>
    </row>
    <row r="36" spans="1:21" x14ac:dyDescent="0.25">
      <c r="A36" s="2">
        <v>44372</v>
      </c>
      <c r="B36" s="1" t="s">
        <v>22</v>
      </c>
      <c r="C36" t="s">
        <v>113</v>
      </c>
      <c r="D36" t="s">
        <v>114</v>
      </c>
      <c r="E36" t="s">
        <v>89</v>
      </c>
      <c r="F36" s="29" t="s">
        <v>27</v>
      </c>
      <c r="G36" s="1" t="s">
        <v>42</v>
      </c>
      <c r="H36" s="1">
        <f t="shared" ca="1" si="0"/>
        <v>41</v>
      </c>
      <c r="I36" s="1" t="s">
        <v>36</v>
      </c>
      <c r="J36" t="s">
        <v>35</v>
      </c>
      <c r="K36" s="3" t="s">
        <v>115</v>
      </c>
      <c r="L36" s="1" t="s">
        <v>30</v>
      </c>
      <c r="M36" s="2">
        <v>44413</v>
      </c>
      <c r="N36" s="1" t="str">
        <f t="shared" si="1"/>
        <v>Closed</v>
      </c>
      <c r="O36" s="2" t="s">
        <v>36</v>
      </c>
      <c r="P36" s="2" t="s">
        <v>36</v>
      </c>
      <c r="Q36" s="2">
        <v>44399</v>
      </c>
      <c r="R36" s="2">
        <v>44423</v>
      </c>
      <c r="S36" s="1">
        <f t="shared" si="2"/>
        <v>24</v>
      </c>
      <c r="T36" s="1" t="s">
        <v>38</v>
      </c>
      <c r="U36" s="1" t="s">
        <v>32</v>
      </c>
    </row>
    <row r="37" spans="1:21" x14ac:dyDescent="0.25">
      <c r="A37" s="2">
        <v>44234</v>
      </c>
      <c r="B37" s="1" t="s">
        <v>22</v>
      </c>
      <c r="C37" t="s">
        <v>113</v>
      </c>
      <c r="D37" t="s">
        <v>114</v>
      </c>
      <c r="E37" t="s">
        <v>90</v>
      </c>
      <c r="F37" s="29" t="s">
        <v>27</v>
      </c>
      <c r="G37" s="1" t="s">
        <v>42</v>
      </c>
      <c r="H37" s="1">
        <f t="shared" ca="1" si="0"/>
        <v>275</v>
      </c>
      <c r="I37" s="1" t="s">
        <v>36</v>
      </c>
      <c r="J37" t="s">
        <v>35</v>
      </c>
      <c r="K37" s="3" t="s">
        <v>115</v>
      </c>
      <c r="L37" s="1" t="s">
        <v>31</v>
      </c>
      <c r="M37" s="2" t="s">
        <v>36</v>
      </c>
      <c r="N37" s="1" t="str">
        <f t="shared" si="1"/>
        <v>Open</v>
      </c>
      <c r="O37" s="2" t="s">
        <v>36</v>
      </c>
      <c r="P37" s="2" t="s">
        <v>36</v>
      </c>
      <c r="Q37" s="2">
        <v>44273</v>
      </c>
      <c r="R37" s="2">
        <v>44273</v>
      </c>
      <c r="S37" s="1">
        <f t="shared" si="2"/>
        <v>0</v>
      </c>
      <c r="T37" s="1" t="s">
        <v>38</v>
      </c>
      <c r="U37" s="1" t="s">
        <v>32</v>
      </c>
    </row>
    <row r="38" spans="1:21" x14ac:dyDescent="0.25">
      <c r="A38" s="2">
        <v>44488</v>
      </c>
      <c r="B38" s="1" t="s">
        <v>24</v>
      </c>
      <c r="C38" t="s">
        <v>113</v>
      </c>
      <c r="D38" t="s">
        <v>114</v>
      </c>
      <c r="E38" t="s">
        <v>89</v>
      </c>
      <c r="F38" s="29" t="s">
        <v>26</v>
      </c>
      <c r="G38" s="1" t="s">
        <v>29</v>
      </c>
      <c r="H38" s="1">
        <f t="shared" ca="1" si="0"/>
        <v>63</v>
      </c>
      <c r="I38" s="1" t="s">
        <v>36</v>
      </c>
      <c r="J38" t="s">
        <v>35</v>
      </c>
      <c r="K38" s="3" t="s">
        <v>115</v>
      </c>
      <c r="L38" s="1" t="s">
        <v>30</v>
      </c>
      <c r="M38" s="2">
        <v>44551</v>
      </c>
      <c r="N38" s="1" t="str">
        <f t="shared" si="1"/>
        <v>Closed</v>
      </c>
      <c r="O38" s="2" t="s">
        <v>36</v>
      </c>
      <c r="P38" s="2" t="s">
        <v>36</v>
      </c>
      <c r="Q38" s="2">
        <v>44562</v>
      </c>
      <c r="R38" s="2">
        <v>44562</v>
      </c>
      <c r="S38" s="1">
        <f t="shared" si="2"/>
        <v>0</v>
      </c>
      <c r="T38" s="1" t="s">
        <v>38</v>
      </c>
      <c r="U38" s="1" t="s">
        <v>34</v>
      </c>
    </row>
    <row r="39" spans="1:21" x14ac:dyDescent="0.25">
      <c r="A39" s="2">
        <v>44267</v>
      </c>
      <c r="B39" s="1" t="s">
        <v>22</v>
      </c>
      <c r="C39" t="s">
        <v>113</v>
      </c>
      <c r="D39" t="s">
        <v>114</v>
      </c>
      <c r="E39" t="s">
        <v>87</v>
      </c>
      <c r="F39" s="29" t="s">
        <v>27</v>
      </c>
      <c r="G39" s="1" t="s">
        <v>42</v>
      </c>
      <c r="H39" s="1">
        <f t="shared" ca="1" si="0"/>
        <v>35</v>
      </c>
      <c r="I39" s="1" t="s">
        <v>36</v>
      </c>
      <c r="J39" t="s">
        <v>35</v>
      </c>
      <c r="K39" s="3" t="s">
        <v>115</v>
      </c>
      <c r="L39" s="1" t="s">
        <v>31</v>
      </c>
      <c r="M39" s="2">
        <v>44302</v>
      </c>
      <c r="N39" s="1" t="str">
        <f t="shared" si="1"/>
        <v>Closed</v>
      </c>
      <c r="O39" s="2" t="s">
        <v>36</v>
      </c>
      <c r="P39" s="2" t="s">
        <v>36</v>
      </c>
      <c r="Q39" s="2">
        <v>44314</v>
      </c>
      <c r="R39" s="2">
        <v>44314</v>
      </c>
      <c r="S39" s="1">
        <f t="shared" si="2"/>
        <v>0</v>
      </c>
      <c r="T39" s="1" t="s">
        <v>38</v>
      </c>
      <c r="U39" s="1" t="s">
        <v>32</v>
      </c>
    </row>
    <row r="40" spans="1:21" x14ac:dyDescent="0.25">
      <c r="A40" s="2">
        <v>44529</v>
      </c>
      <c r="B40" s="1" t="s">
        <v>23</v>
      </c>
      <c r="C40" t="s">
        <v>113</v>
      </c>
      <c r="D40" t="s">
        <v>114</v>
      </c>
      <c r="E40" t="s">
        <v>88</v>
      </c>
      <c r="F40" s="29" t="s">
        <v>25</v>
      </c>
      <c r="G40" s="1" t="s">
        <v>28</v>
      </c>
      <c r="H40" s="1">
        <f t="shared" ca="1" si="0"/>
        <v>62</v>
      </c>
      <c r="I40" s="1" t="s">
        <v>36</v>
      </c>
      <c r="J40" t="s">
        <v>35</v>
      </c>
      <c r="K40" s="3" t="s">
        <v>115</v>
      </c>
      <c r="L40" s="1" t="s">
        <v>30</v>
      </c>
      <c r="M40" s="2">
        <v>44591</v>
      </c>
      <c r="N40" s="1" t="str">
        <f t="shared" si="1"/>
        <v>Closed</v>
      </c>
      <c r="O40" s="2" t="s">
        <v>36</v>
      </c>
      <c r="P40" s="2" t="s">
        <v>36</v>
      </c>
      <c r="Q40" s="2">
        <v>44582</v>
      </c>
      <c r="R40" s="2">
        <v>44599</v>
      </c>
      <c r="S40" s="1">
        <f t="shared" si="2"/>
        <v>17</v>
      </c>
      <c r="T40" s="1" t="s">
        <v>43</v>
      </c>
      <c r="U40" s="1" t="s">
        <v>33</v>
      </c>
    </row>
    <row r="41" spans="1:21" x14ac:dyDescent="0.25">
      <c r="A41" s="2">
        <v>44308</v>
      </c>
      <c r="B41" s="1" t="s">
        <v>24</v>
      </c>
      <c r="C41" t="s">
        <v>113</v>
      </c>
      <c r="D41" t="s">
        <v>114</v>
      </c>
      <c r="E41" t="s">
        <v>89</v>
      </c>
      <c r="F41" s="29" t="s">
        <v>26</v>
      </c>
      <c r="G41" s="1" t="s">
        <v>29</v>
      </c>
      <c r="H41" s="1">
        <f t="shared" ca="1" si="0"/>
        <v>80</v>
      </c>
      <c r="I41" s="1" t="s">
        <v>36</v>
      </c>
      <c r="J41" t="s">
        <v>35</v>
      </c>
      <c r="K41" s="3" t="s">
        <v>115</v>
      </c>
      <c r="L41" s="1" t="s">
        <v>30</v>
      </c>
      <c r="M41" s="2">
        <v>44388</v>
      </c>
      <c r="N41" s="1" t="str">
        <f t="shared" si="1"/>
        <v>Closed</v>
      </c>
      <c r="O41" s="2" t="s">
        <v>36</v>
      </c>
      <c r="P41" s="2" t="s">
        <v>36</v>
      </c>
      <c r="Q41" s="2">
        <v>44386</v>
      </c>
      <c r="R41" s="2">
        <v>44398</v>
      </c>
      <c r="S41" s="1">
        <f t="shared" si="2"/>
        <v>12</v>
      </c>
      <c r="T41" s="1" t="s">
        <v>43</v>
      </c>
      <c r="U41" s="1" t="s">
        <v>34</v>
      </c>
    </row>
    <row r="42" spans="1:21" x14ac:dyDescent="0.25">
      <c r="A42" s="2">
        <v>44420</v>
      </c>
      <c r="B42" s="1" t="s">
        <v>22</v>
      </c>
      <c r="C42" t="s">
        <v>113</v>
      </c>
      <c r="D42" t="s">
        <v>114</v>
      </c>
      <c r="E42" t="s">
        <v>89</v>
      </c>
      <c r="F42" s="29" t="s">
        <v>27</v>
      </c>
      <c r="G42" s="1" t="s">
        <v>42</v>
      </c>
      <c r="H42" s="1">
        <f t="shared" ca="1" si="0"/>
        <v>46</v>
      </c>
      <c r="I42" s="1" t="s">
        <v>36</v>
      </c>
      <c r="J42" t="s">
        <v>35</v>
      </c>
      <c r="K42" s="3" t="s">
        <v>115</v>
      </c>
      <c r="L42" s="1" t="s">
        <v>30</v>
      </c>
      <c r="M42" s="2">
        <v>44466</v>
      </c>
      <c r="N42" s="1" t="str">
        <f t="shared" si="1"/>
        <v>Closed</v>
      </c>
      <c r="O42" s="2" t="s">
        <v>36</v>
      </c>
      <c r="P42" s="2" t="s">
        <v>36</v>
      </c>
      <c r="Q42" s="2">
        <v>44465</v>
      </c>
      <c r="R42" s="2">
        <v>44478</v>
      </c>
      <c r="S42" s="1">
        <f t="shared" si="2"/>
        <v>13</v>
      </c>
      <c r="T42" s="1" t="s">
        <v>43</v>
      </c>
      <c r="U42" s="1" t="s">
        <v>32</v>
      </c>
    </row>
    <row r="43" spans="1:21" x14ac:dyDescent="0.25">
      <c r="A43" s="2">
        <v>44414</v>
      </c>
      <c r="B43" s="1" t="s">
        <v>22</v>
      </c>
      <c r="C43" t="s">
        <v>113</v>
      </c>
      <c r="D43" t="s">
        <v>114</v>
      </c>
      <c r="E43" t="s">
        <v>90</v>
      </c>
      <c r="F43" s="29" t="s">
        <v>27</v>
      </c>
      <c r="G43" s="1" t="s">
        <v>42</v>
      </c>
      <c r="H43" s="1">
        <f t="shared" ca="1" si="0"/>
        <v>39</v>
      </c>
      <c r="I43" s="1" t="s">
        <v>36</v>
      </c>
      <c r="J43" t="s">
        <v>35</v>
      </c>
      <c r="K43" s="3" t="s">
        <v>115</v>
      </c>
      <c r="L43" s="1" t="s">
        <v>31</v>
      </c>
      <c r="M43" s="2">
        <v>44453</v>
      </c>
      <c r="N43" s="1" t="str">
        <f t="shared" si="1"/>
        <v>Closed</v>
      </c>
      <c r="O43" s="2" t="s">
        <v>36</v>
      </c>
      <c r="P43" s="2" t="s">
        <v>36</v>
      </c>
      <c r="Q43" s="2">
        <v>44464</v>
      </c>
      <c r="R43" s="2">
        <v>44464</v>
      </c>
      <c r="S43" s="1">
        <f t="shared" si="2"/>
        <v>0</v>
      </c>
      <c r="T43" s="1" t="s">
        <v>43</v>
      </c>
      <c r="U43" s="1" t="s">
        <v>32</v>
      </c>
    </row>
    <row r="44" spans="1:21" x14ac:dyDescent="0.25">
      <c r="A44" s="2">
        <v>44437</v>
      </c>
      <c r="B44" s="1" t="s">
        <v>24</v>
      </c>
      <c r="C44" t="s">
        <v>113</v>
      </c>
      <c r="D44" t="s">
        <v>114</v>
      </c>
      <c r="E44" t="s">
        <v>88</v>
      </c>
      <c r="F44" s="29" t="s">
        <v>26</v>
      </c>
      <c r="G44" s="1" t="s">
        <v>29</v>
      </c>
      <c r="H44" s="1">
        <f t="shared" ca="1" si="0"/>
        <v>67</v>
      </c>
      <c r="I44" s="1" t="s">
        <v>36</v>
      </c>
      <c r="J44" t="s">
        <v>35</v>
      </c>
      <c r="K44" s="3" t="s">
        <v>115</v>
      </c>
      <c r="L44" s="1" t="s">
        <v>30</v>
      </c>
      <c r="M44" s="2">
        <v>44504</v>
      </c>
      <c r="N44" s="1" t="str">
        <f t="shared" si="1"/>
        <v>Closed</v>
      </c>
      <c r="O44" s="2" t="s">
        <v>36</v>
      </c>
      <c r="P44" s="2" t="s">
        <v>36</v>
      </c>
      <c r="Q44" s="2">
        <v>44512</v>
      </c>
      <c r="R44" s="2">
        <v>44512</v>
      </c>
      <c r="S44" s="1">
        <f t="shared" si="2"/>
        <v>0</v>
      </c>
      <c r="T44" s="1" t="s">
        <v>43</v>
      </c>
      <c r="U44" s="1" t="s">
        <v>34</v>
      </c>
    </row>
    <row r="45" spans="1:21" x14ac:dyDescent="0.25">
      <c r="A45" s="2">
        <v>44354</v>
      </c>
      <c r="B45" s="1" t="s">
        <v>22</v>
      </c>
      <c r="C45" t="s">
        <v>113</v>
      </c>
      <c r="D45" t="s">
        <v>114</v>
      </c>
      <c r="E45" t="s">
        <v>90</v>
      </c>
      <c r="F45" s="29" t="s">
        <v>27</v>
      </c>
      <c r="G45" s="1" t="s">
        <v>42</v>
      </c>
      <c r="H45" s="1">
        <f t="shared" ca="1" si="0"/>
        <v>21</v>
      </c>
      <c r="I45" s="1" t="s">
        <v>36</v>
      </c>
      <c r="J45" t="s">
        <v>35</v>
      </c>
      <c r="K45" s="3" t="s">
        <v>115</v>
      </c>
      <c r="L45" s="1" t="s">
        <v>30</v>
      </c>
      <c r="M45" s="2">
        <v>44375</v>
      </c>
      <c r="N45" s="1" t="str">
        <f t="shared" si="1"/>
        <v>Closed</v>
      </c>
      <c r="O45" s="2" t="s">
        <v>36</v>
      </c>
      <c r="P45" s="2" t="s">
        <v>36</v>
      </c>
      <c r="Q45" s="2">
        <v>44364</v>
      </c>
      <c r="R45" s="2">
        <v>44384</v>
      </c>
      <c r="S45" s="1">
        <f t="shared" si="2"/>
        <v>20</v>
      </c>
      <c r="T45" s="1" t="s">
        <v>38</v>
      </c>
      <c r="U45" s="1" t="s">
        <v>32</v>
      </c>
    </row>
    <row r="46" spans="1:21" x14ac:dyDescent="0.25">
      <c r="A46" s="2">
        <v>44321</v>
      </c>
      <c r="B46" s="1" t="s">
        <v>22</v>
      </c>
      <c r="C46" t="s">
        <v>113</v>
      </c>
      <c r="D46" t="s">
        <v>114</v>
      </c>
      <c r="E46" t="s">
        <v>88</v>
      </c>
      <c r="F46" s="29" t="s">
        <v>27</v>
      </c>
      <c r="G46" s="1" t="s">
        <v>42</v>
      </c>
      <c r="H46" s="1">
        <f t="shared" ca="1" si="0"/>
        <v>43</v>
      </c>
      <c r="I46" s="1" t="s">
        <v>36</v>
      </c>
      <c r="J46" t="s">
        <v>35</v>
      </c>
      <c r="K46" s="3" t="s">
        <v>115</v>
      </c>
      <c r="L46" s="1" t="s">
        <v>31</v>
      </c>
      <c r="M46" s="2">
        <v>44364</v>
      </c>
      <c r="N46" s="1" t="str">
        <f t="shared" si="1"/>
        <v>Closed</v>
      </c>
      <c r="O46" s="2" t="s">
        <v>36</v>
      </c>
      <c r="P46" s="2" t="s">
        <v>36</v>
      </c>
      <c r="Q46" s="2">
        <v>44366</v>
      </c>
      <c r="R46" s="2">
        <v>44366</v>
      </c>
      <c r="S46" s="1">
        <f t="shared" si="2"/>
        <v>0</v>
      </c>
      <c r="T46" s="1" t="s">
        <v>43</v>
      </c>
      <c r="U46" s="1" t="s">
        <v>32</v>
      </c>
    </row>
    <row r="47" spans="1:21" x14ac:dyDescent="0.25">
      <c r="A47" s="2">
        <v>44225</v>
      </c>
      <c r="B47" s="1" t="s">
        <v>22</v>
      </c>
      <c r="C47" t="s">
        <v>113</v>
      </c>
      <c r="D47" t="s">
        <v>114</v>
      </c>
      <c r="E47" t="s">
        <v>88</v>
      </c>
      <c r="F47" s="29" t="s">
        <v>27</v>
      </c>
      <c r="G47" s="1" t="s">
        <v>42</v>
      </c>
      <c r="H47" s="1">
        <f t="shared" ca="1" si="0"/>
        <v>48</v>
      </c>
      <c r="I47" s="1" t="s">
        <v>36</v>
      </c>
      <c r="J47" t="s">
        <v>35</v>
      </c>
      <c r="K47" s="3" t="s">
        <v>115</v>
      </c>
      <c r="L47" s="1" t="s">
        <v>31</v>
      </c>
      <c r="M47" s="2">
        <v>44273</v>
      </c>
      <c r="N47" s="1" t="str">
        <f t="shared" si="1"/>
        <v>Closed</v>
      </c>
      <c r="O47" s="2" t="s">
        <v>36</v>
      </c>
      <c r="P47" s="2" t="s">
        <v>36</v>
      </c>
      <c r="Q47" s="2">
        <v>44280</v>
      </c>
      <c r="R47" s="2">
        <v>44280</v>
      </c>
      <c r="S47" s="1">
        <f t="shared" si="2"/>
        <v>0</v>
      </c>
      <c r="T47" s="1" t="s">
        <v>43</v>
      </c>
      <c r="U47" s="1" t="s">
        <v>32</v>
      </c>
    </row>
    <row r="48" spans="1:21" x14ac:dyDescent="0.25">
      <c r="A48" s="2">
        <v>44548</v>
      </c>
      <c r="B48" s="1" t="s">
        <v>24</v>
      </c>
      <c r="C48" t="s">
        <v>113</v>
      </c>
      <c r="D48" t="s">
        <v>114</v>
      </c>
      <c r="E48" t="s">
        <v>89</v>
      </c>
      <c r="F48" s="29" t="s">
        <v>26</v>
      </c>
      <c r="G48" s="1" t="s">
        <v>29</v>
      </c>
      <c r="H48" s="1">
        <f t="shared" ca="1" si="0"/>
        <v>40</v>
      </c>
      <c r="I48" s="1" t="s">
        <v>36</v>
      </c>
      <c r="J48" t="s">
        <v>35</v>
      </c>
      <c r="K48" s="3" t="s">
        <v>115</v>
      </c>
      <c r="L48" s="1" t="s">
        <v>31</v>
      </c>
      <c r="M48" s="2">
        <v>44588</v>
      </c>
      <c r="N48" s="1" t="str">
        <f t="shared" si="1"/>
        <v>Closed</v>
      </c>
      <c r="O48" s="2" t="s">
        <v>36</v>
      </c>
      <c r="P48" s="2" t="s">
        <v>36</v>
      </c>
      <c r="Q48" s="2">
        <v>44583</v>
      </c>
      <c r="R48" s="2">
        <v>44598</v>
      </c>
      <c r="S48" s="1">
        <f t="shared" si="2"/>
        <v>15</v>
      </c>
      <c r="T48" s="1" t="s">
        <v>43</v>
      </c>
      <c r="U48" s="1" t="s">
        <v>34</v>
      </c>
    </row>
    <row r="49" spans="1:21" x14ac:dyDescent="0.25">
      <c r="A49" s="2">
        <v>44342</v>
      </c>
      <c r="B49" s="1" t="s">
        <v>22</v>
      </c>
      <c r="C49" t="s">
        <v>113</v>
      </c>
      <c r="D49" t="s">
        <v>114</v>
      </c>
      <c r="E49" t="s">
        <v>90</v>
      </c>
      <c r="F49" s="29" t="s">
        <v>27</v>
      </c>
      <c r="G49" s="1" t="s">
        <v>42</v>
      </c>
      <c r="H49" s="1">
        <f t="shared" ca="1" si="0"/>
        <v>50</v>
      </c>
      <c r="I49" s="1" t="s">
        <v>36</v>
      </c>
      <c r="J49" t="s">
        <v>35</v>
      </c>
      <c r="K49" s="3" t="s">
        <v>115</v>
      </c>
      <c r="L49" s="1" t="s">
        <v>31</v>
      </c>
      <c r="M49" s="2">
        <v>44392</v>
      </c>
      <c r="N49" s="1" t="str">
        <f t="shared" si="1"/>
        <v>Closed</v>
      </c>
      <c r="O49" s="2" t="s">
        <v>36</v>
      </c>
      <c r="P49" s="2" t="s">
        <v>36</v>
      </c>
      <c r="Q49" s="2">
        <v>44382</v>
      </c>
      <c r="R49" s="2">
        <v>44400</v>
      </c>
      <c r="S49" s="1">
        <f t="shared" si="2"/>
        <v>18</v>
      </c>
      <c r="T49" s="1" t="s">
        <v>43</v>
      </c>
      <c r="U49" s="1" t="s">
        <v>32</v>
      </c>
    </row>
    <row r="50" spans="1:21" x14ac:dyDescent="0.25">
      <c r="A50" s="2">
        <v>44211</v>
      </c>
      <c r="B50" s="1" t="s">
        <v>23</v>
      </c>
      <c r="C50" t="s">
        <v>113</v>
      </c>
      <c r="D50" t="s">
        <v>114</v>
      </c>
      <c r="E50" t="s">
        <v>87</v>
      </c>
      <c r="F50" s="29" t="s">
        <v>25</v>
      </c>
      <c r="G50" s="1" t="s">
        <v>28</v>
      </c>
      <c r="H50" s="1">
        <f t="shared" ca="1" si="0"/>
        <v>20</v>
      </c>
      <c r="I50" s="1" t="s">
        <v>36</v>
      </c>
      <c r="J50" t="s">
        <v>35</v>
      </c>
      <c r="K50" s="3" t="s">
        <v>115</v>
      </c>
      <c r="L50" s="1" t="s">
        <v>30</v>
      </c>
      <c r="M50" s="2">
        <v>44231</v>
      </c>
      <c r="N50" s="1" t="str">
        <f t="shared" si="1"/>
        <v>Closed</v>
      </c>
      <c r="O50" s="2" t="s">
        <v>36</v>
      </c>
      <c r="P50" s="2" t="s">
        <v>36</v>
      </c>
      <c r="Q50" s="2">
        <v>44226</v>
      </c>
      <c r="R50" s="2">
        <v>44238</v>
      </c>
      <c r="S50" s="1">
        <f t="shared" si="2"/>
        <v>12</v>
      </c>
      <c r="T50" s="1" t="s">
        <v>38</v>
      </c>
      <c r="U50" s="1" t="s">
        <v>33</v>
      </c>
    </row>
    <row r="51" spans="1:21" x14ac:dyDescent="0.25">
      <c r="A51" s="2">
        <v>44213</v>
      </c>
      <c r="B51" s="1" t="s">
        <v>22</v>
      </c>
      <c r="C51" t="s">
        <v>113</v>
      </c>
      <c r="D51" t="s">
        <v>114</v>
      </c>
      <c r="E51" t="s">
        <v>88</v>
      </c>
      <c r="F51" s="29" t="s">
        <v>27</v>
      </c>
      <c r="G51" s="1" t="s">
        <v>42</v>
      </c>
      <c r="H51" s="1">
        <f t="shared" ca="1" si="0"/>
        <v>36</v>
      </c>
      <c r="I51" s="1" t="s">
        <v>36</v>
      </c>
      <c r="J51" t="s">
        <v>35</v>
      </c>
      <c r="K51" s="3" t="s">
        <v>115</v>
      </c>
      <c r="L51" s="1" t="s">
        <v>31</v>
      </c>
      <c r="M51" s="2">
        <v>44249</v>
      </c>
      <c r="N51" s="1" t="str">
        <f t="shared" si="1"/>
        <v>Closed</v>
      </c>
      <c r="O51" s="2" t="s">
        <v>36</v>
      </c>
      <c r="P51" s="2" t="s">
        <v>36</v>
      </c>
      <c r="Q51" s="2">
        <v>44238</v>
      </c>
      <c r="R51" s="2">
        <v>44261</v>
      </c>
      <c r="S51" s="1">
        <f t="shared" si="2"/>
        <v>23</v>
      </c>
      <c r="T51" s="1" t="s">
        <v>38</v>
      </c>
      <c r="U51" s="1" t="s">
        <v>32</v>
      </c>
    </row>
    <row r="52" spans="1:21" x14ac:dyDescent="0.25">
      <c r="A52" s="2">
        <v>44227</v>
      </c>
      <c r="B52" s="1" t="s">
        <v>24</v>
      </c>
      <c r="C52" t="s">
        <v>113</v>
      </c>
      <c r="D52" t="s">
        <v>114</v>
      </c>
      <c r="E52" t="s">
        <v>87</v>
      </c>
      <c r="F52" s="29" t="s">
        <v>26</v>
      </c>
      <c r="G52" s="1" t="s">
        <v>29</v>
      </c>
      <c r="H52" s="1">
        <f t="shared" ca="1" si="0"/>
        <v>23</v>
      </c>
      <c r="I52" s="1" t="s">
        <v>36</v>
      </c>
      <c r="J52" t="s">
        <v>35</v>
      </c>
      <c r="K52" s="3" t="s">
        <v>115</v>
      </c>
      <c r="L52" s="1" t="s">
        <v>30</v>
      </c>
      <c r="M52" s="2">
        <v>44250</v>
      </c>
      <c r="N52" s="1" t="str">
        <f t="shared" si="1"/>
        <v>Closed</v>
      </c>
      <c r="O52" s="2" t="s">
        <v>36</v>
      </c>
      <c r="P52" s="2" t="s">
        <v>36</v>
      </c>
      <c r="Q52" s="2">
        <v>44246</v>
      </c>
      <c r="R52" s="2">
        <v>44258</v>
      </c>
      <c r="S52" s="1">
        <f t="shared" si="2"/>
        <v>12</v>
      </c>
      <c r="T52" s="1" t="s">
        <v>38</v>
      </c>
      <c r="U52" s="1" t="s">
        <v>34</v>
      </c>
    </row>
    <row r="53" spans="1:21" x14ac:dyDescent="0.25">
      <c r="A53" s="2">
        <v>44356</v>
      </c>
      <c r="B53" s="1" t="s">
        <v>24</v>
      </c>
      <c r="C53" t="s">
        <v>113</v>
      </c>
      <c r="D53" t="s">
        <v>114</v>
      </c>
      <c r="E53" t="s">
        <v>89</v>
      </c>
      <c r="F53" s="29" t="s">
        <v>26</v>
      </c>
      <c r="G53" s="1" t="s">
        <v>29</v>
      </c>
      <c r="H53" s="1">
        <f t="shared" ca="1" si="0"/>
        <v>33</v>
      </c>
      <c r="I53" s="1" t="s">
        <v>36</v>
      </c>
      <c r="J53" t="s">
        <v>35</v>
      </c>
      <c r="K53" s="3" t="s">
        <v>115</v>
      </c>
      <c r="L53" s="1" t="s">
        <v>31</v>
      </c>
      <c r="M53" s="2">
        <v>44389</v>
      </c>
      <c r="N53" s="1" t="str">
        <f t="shared" si="1"/>
        <v>Closed</v>
      </c>
      <c r="O53" s="2" t="s">
        <v>36</v>
      </c>
      <c r="P53" s="2" t="s">
        <v>36</v>
      </c>
      <c r="Q53" s="2">
        <v>44396</v>
      </c>
      <c r="R53" s="2">
        <v>44396</v>
      </c>
      <c r="S53" s="1">
        <f t="shared" si="2"/>
        <v>0</v>
      </c>
      <c r="T53" s="1" t="s">
        <v>43</v>
      </c>
      <c r="U53" s="1" t="s">
        <v>34</v>
      </c>
    </row>
    <row r="54" spans="1:21" x14ac:dyDescent="0.25">
      <c r="A54" s="2">
        <v>44240</v>
      </c>
      <c r="B54" s="1" t="s">
        <v>22</v>
      </c>
      <c r="C54" t="s">
        <v>113</v>
      </c>
      <c r="D54" t="s">
        <v>114</v>
      </c>
      <c r="E54" t="s">
        <v>89</v>
      </c>
      <c r="F54" s="29" t="s">
        <v>27</v>
      </c>
      <c r="G54" s="1" t="s">
        <v>42</v>
      </c>
      <c r="H54" s="1">
        <f t="shared" ca="1" si="0"/>
        <v>65</v>
      </c>
      <c r="I54" s="1" t="s">
        <v>36</v>
      </c>
      <c r="J54" t="s">
        <v>35</v>
      </c>
      <c r="K54" s="3" t="s">
        <v>115</v>
      </c>
      <c r="L54" s="1" t="s">
        <v>30</v>
      </c>
      <c r="M54" s="2">
        <v>44305</v>
      </c>
      <c r="N54" s="1" t="str">
        <f t="shared" si="1"/>
        <v>Closed</v>
      </c>
      <c r="O54" s="2" t="s">
        <v>36</v>
      </c>
      <c r="P54" s="2" t="s">
        <v>36</v>
      </c>
      <c r="Q54" s="2">
        <v>44318</v>
      </c>
      <c r="R54" s="2">
        <v>44318</v>
      </c>
      <c r="S54" s="1">
        <f t="shared" si="2"/>
        <v>0</v>
      </c>
      <c r="T54" s="1" t="s">
        <v>38</v>
      </c>
      <c r="U54" s="1" t="s">
        <v>32</v>
      </c>
    </row>
    <row r="55" spans="1:21" x14ac:dyDescent="0.25">
      <c r="A55" s="2">
        <v>44518</v>
      </c>
      <c r="B55" s="1" t="s">
        <v>24</v>
      </c>
      <c r="C55" t="s">
        <v>113</v>
      </c>
      <c r="D55" t="s">
        <v>114</v>
      </c>
      <c r="E55" t="s">
        <v>90</v>
      </c>
      <c r="F55" s="29" t="s">
        <v>26</v>
      </c>
      <c r="G55" s="1" t="s">
        <v>29</v>
      </c>
      <c r="H55" s="1">
        <f t="shared" ca="1" si="0"/>
        <v>29</v>
      </c>
      <c r="I55" s="1" t="s">
        <v>36</v>
      </c>
      <c r="J55" t="s">
        <v>35</v>
      </c>
      <c r="K55" s="3" t="s">
        <v>115</v>
      </c>
      <c r="L55" s="1" t="s">
        <v>30</v>
      </c>
      <c r="M55" s="2">
        <v>44547</v>
      </c>
      <c r="N55" s="1" t="str">
        <f t="shared" si="1"/>
        <v>Closed</v>
      </c>
      <c r="O55" s="2" t="s">
        <v>36</v>
      </c>
      <c r="P55" s="2" t="s">
        <v>36</v>
      </c>
      <c r="Q55" s="2">
        <v>44560</v>
      </c>
      <c r="R55" s="2">
        <v>44560</v>
      </c>
      <c r="S55" s="1">
        <f t="shared" si="2"/>
        <v>0</v>
      </c>
      <c r="T55" s="1" t="s">
        <v>43</v>
      </c>
      <c r="U55" s="1" t="s">
        <v>34</v>
      </c>
    </row>
    <row r="56" spans="1:21" x14ac:dyDescent="0.25">
      <c r="A56" s="2">
        <v>44558</v>
      </c>
      <c r="B56" s="1" t="s">
        <v>22</v>
      </c>
      <c r="C56" t="s">
        <v>113</v>
      </c>
      <c r="D56" t="s">
        <v>114</v>
      </c>
      <c r="E56" t="s">
        <v>90</v>
      </c>
      <c r="F56" s="29" t="s">
        <v>27</v>
      </c>
      <c r="G56" s="1" t="s">
        <v>42</v>
      </c>
      <c r="H56" s="1">
        <f t="shared" ca="1" si="0"/>
        <v>75</v>
      </c>
      <c r="I56" s="1" t="s">
        <v>36</v>
      </c>
      <c r="J56" t="s">
        <v>35</v>
      </c>
      <c r="K56" s="3" t="s">
        <v>115</v>
      </c>
      <c r="L56" s="1" t="s">
        <v>30</v>
      </c>
      <c r="M56" s="2">
        <v>44633</v>
      </c>
      <c r="N56" s="1" t="str">
        <f t="shared" si="1"/>
        <v>Closed</v>
      </c>
      <c r="O56" s="2" t="s">
        <v>36</v>
      </c>
      <c r="P56" s="2" t="s">
        <v>36</v>
      </c>
      <c r="Q56" s="2">
        <v>44636</v>
      </c>
      <c r="R56" s="2">
        <v>44636</v>
      </c>
      <c r="S56" s="1">
        <f t="shared" si="2"/>
        <v>0</v>
      </c>
      <c r="T56" s="1" t="s">
        <v>38</v>
      </c>
      <c r="U56" s="1" t="s">
        <v>32</v>
      </c>
    </row>
    <row r="57" spans="1:21" x14ac:dyDescent="0.25">
      <c r="A57" s="2">
        <v>44471</v>
      </c>
      <c r="B57" s="1" t="s">
        <v>22</v>
      </c>
      <c r="C57" t="s">
        <v>113</v>
      </c>
      <c r="D57" t="s">
        <v>114</v>
      </c>
      <c r="E57" t="s">
        <v>87</v>
      </c>
      <c r="F57" s="29" t="s">
        <v>27</v>
      </c>
      <c r="G57" s="1" t="s">
        <v>42</v>
      </c>
      <c r="H57" s="1">
        <f t="shared" ca="1" si="0"/>
        <v>38</v>
      </c>
      <c r="I57" s="1" t="s">
        <v>36</v>
      </c>
      <c r="J57" t="s">
        <v>35</v>
      </c>
      <c r="K57" s="3" t="s">
        <v>115</v>
      </c>
      <c r="L57" s="1" t="s">
        <v>31</v>
      </c>
      <c r="M57" s="2" t="s">
        <v>36</v>
      </c>
      <c r="N57" s="1" t="str">
        <f t="shared" si="1"/>
        <v>Open</v>
      </c>
      <c r="O57" s="2" t="s">
        <v>36</v>
      </c>
      <c r="P57" s="2" t="s">
        <v>36</v>
      </c>
      <c r="Q57" s="2">
        <v>44500</v>
      </c>
      <c r="R57" s="2">
        <v>44500</v>
      </c>
      <c r="S57" s="1">
        <f t="shared" si="2"/>
        <v>0</v>
      </c>
      <c r="T57" s="1" t="s">
        <v>38</v>
      </c>
      <c r="U57" s="1" t="s">
        <v>32</v>
      </c>
    </row>
    <row r="58" spans="1:21" x14ac:dyDescent="0.25">
      <c r="A58" s="2">
        <v>44347</v>
      </c>
      <c r="B58" s="1" t="s">
        <v>24</v>
      </c>
      <c r="C58" t="s">
        <v>113</v>
      </c>
      <c r="D58" t="s">
        <v>114</v>
      </c>
      <c r="E58" t="s">
        <v>87</v>
      </c>
      <c r="F58" s="29" t="s">
        <v>26</v>
      </c>
      <c r="G58" s="1" t="s">
        <v>29</v>
      </c>
      <c r="H58" s="1">
        <f t="shared" ca="1" si="0"/>
        <v>41</v>
      </c>
      <c r="I58" s="1" t="s">
        <v>36</v>
      </c>
      <c r="J58" t="s">
        <v>35</v>
      </c>
      <c r="K58" s="3" t="s">
        <v>115</v>
      </c>
      <c r="L58" s="1" t="s">
        <v>30</v>
      </c>
      <c r="M58" s="2">
        <v>44388</v>
      </c>
      <c r="N58" s="1" t="str">
        <f t="shared" si="1"/>
        <v>Closed</v>
      </c>
      <c r="O58" s="2" t="s">
        <v>36</v>
      </c>
      <c r="P58" s="2" t="s">
        <v>36</v>
      </c>
      <c r="Q58" s="2">
        <v>44391</v>
      </c>
      <c r="R58" s="2">
        <v>44391</v>
      </c>
      <c r="S58" s="1">
        <f t="shared" si="2"/>
        <v>0</v>
      </c>
      <c r="T58" s="1" t="s">
        <v>38</v>
      </c>
      <c r="U58" s="1" t="s">
        <v>34</v>
      </c>
    </row>
    <row r="59" spans="1:21" x14ac:dyDescent="0.25">
      <c r="A59" s="2">
        <v>44308</v>
      </c>
      <c r="B59" s="1" t="s">
        <v>24</v>
      </c>
      <c r="C59" t="s">
        <v>113</v>
      </c>
      <c r="D59" t="s">
        <v>114</v>
      </c>
      <c r="E59" t="s">
        <v>89</v>
      </c>
      <c r="F59" s="29" t="s">
        <v>26</v>
      </c>
      <c r="G59" s="1" t="s">
        <v>29</v>
      </c>
      <c r="H59" s="1">
        <f t="shared" ca="1" si="0"/>
        <v>50</v>
      </c>
      <c r="I59" s="1" t="s">
        <v>36</v>
      </c>
      <c r="J59" t="s">
        <v>35</v>
      </c>
      <c r="K59" s="3" t="s">
        <v>115</v>
      </c>
      <c r="L59" s="1" t="s">
        <v>30</v>
      </c>
      <c r="M59" s="2">
        <v>44358</v>
      </c>
      <c r="N59" s="1" t="str">
        <f t="shared" si="1"/>
        <v>Closed</v>
      </c>
      <c r="O59" s="2" t="s">
        <v>36</v>
      </c>
      <c r="P59" s="2" t="s">
        <v>36</v>
      </c>
      <c r="Q59" s="2">
        <v>44364</v>
      </c>
      <c r="R59" s="2">
        <v>44364</v>
      </c>
      <c r="S59" s="1">
        <f t="shared" si="2"/>
        <v>0</v>
      </c>
      <c r="T59" s="1" t="s">
        <v>38</v>
      </c>
      <c r="U59" s="1" t="s">
        <v>34</v>
      </c>
    </row>
    <row r="60" spans="1:21" x14ac:dyDescent="0.25">
      <c r="A60" s="2">
        <v>44492</v>
      </c>
      <c r="B60" s="1" t="s">
        <v>22</v>
      </c>
      <c r="C60" t="s">
        <v>113</v>
      </c>
      <c r="D60" t="s">
        <v>114</v>
      </c>
      <c r="E60" t="s">
        <v>89</v>
      </c>
      <c r="F60" s="29" t="s">
        <v>27</v>
      </c>
      <c r="G60" s="1" t="s">
        <v>42</v>
      </c>
      <c r="H60" s="1">
        <f t="shared" ca="1" si="0"/>
        <v>37</v>
      </c>
      <c r="I60" s="1" t="s">
        <v>36</v>
      </c>
      <c r="J60" t="s">
        <v>35</v>
      </c>
      <c r="K60" s="3" t="s">
        <v>115</v>
      </c>
      <c r="L60" s="1" t="s">
        <v>31</v>
      </c>
      <c r="M60" s="2">
        <v>44529</v>
      </c>
      <c r="N60" s="1" t="str">
        <f t="shared" si="1"/>
        <v>Closed</v>
      </c>
      <c r="O60" s="2" t="s">
        <v>36</v>
      </c>
      <c r="P60" s="2" t="s">
        <v>36</v>
      </c>
      <c r="Q60" s="2">
        <v>44531</v>
      </c>
      <c r="R60" s="2">
        <v>44531</v>
      </c>
      <c r="S60" s="1">
        <f t="shared" si="2"/>
        <v>0</v>
      </c>
      <c r="T60" s="1" t="s">
        <v>43</v>
      </c>
      <c r="U60" s="1" t="s">
        <v>32</v>
      </c>
    </row>
    <row r="61" spans="1:21" x14ac:dyDescent="0.25">
      <c r="A61" s="2">
        <v>44234</v>
      </c>
      <c r="B61" s="1" t="s">
        <v>22</v>
      </c>
      <c r="C61" t="s">
        <v>113</v>
      </c>
      <c r="D61" t="s">
        <v>114</v>
      </c>
      <c r="E61" t="s">
        <v>90</v>
      </c>
      <c r="F61" s="29" t="s">
        <v>27</v>
      </c>
      <c r="G61" s="1" t="s">
        <v>42</v>
      </c>
      <c r="H61" s="1">
        <f t="shared" ca="1" si="0"/>
        <v>52</v>
      </c>
      <c r="I61" s="1" t="s">
        <v>36</v>
      </c>
      <c r="J61" t="s">
        <v>35</v>
      </c>
      <c r="K61" s="3" t="s">
        <v>115</v>
      </c>
      <c r="L61" s="1" t="s">
        <v>30</v>
      </c>
      <c r="M61" s="2">
        <v>44286</v>
      </c>
      <c r="N61" s="1" t="str">
        <f t="shared" si="1"/>
        <v>Closed</v>
      </c>
      <c r="O61" s="2" t="s">
        <v>36</v>
      </c>
      <c r="P61" s="2" t="s">
        <v>36</v>
      </c>
      <c r="Q61" s="2">
        <v>44291</v>
      </c>
      <c r="R61" s="2">
        <v>44291</v>
      </c>
      <c r="S61" s="1">
        <f t="shared" si="2"/>
        <v>0</v>
      </c>
      <c r="T61" s="1" t="s">
        <v>38</v>
      </c>
      <c r="U61" s="1" t="s">
        <v>32</v>
      </c>
    </row>
    <row r="62" spans="1:21" x14ac:dyDescent="0.25">
      <c r="A62" s="2">
        <v>44271</v>
      </c>
      <c r="B62" s="1" t="s">
        <v>23</v>
      </c>
      <c r="C62" t="s">
        <v>113</v>
      </c>
      <c r="D62" t="s">
        <v>114</v>
      </c>
      <c r="E62" t="s">
        <v>87</v>
      </c>
      <c r="F62" s="29" t="s">
        <v>25</v>
      </c>
      <c r="G62" s="1" t="s">
        <v>28</v>
      </c>
      <c r="H62" s="1">
        <f t="shared" ca="1" si="0"/>
        <v>60</v>
      </c>
      <c r="I62" s="1" t="s">
        <v>36</v>
      </c>
      <c r="J62" t="s">
        <v>35</v>
      </c>
      <c r="K62" s="3" t="s">
        <v>115</v>
      </c>
      <c r="L62" s="1" t="s">
        <v>31</v>
      </c>
      <c r="M62" s="2">
        <v>44331</v>
      </c>
      <c r="N62" s="1" t="str">
        <f t="shared" si="1"/>
        <v>Closed</v>
      </c>
      <c r="O62" s="2" t="s">
        <v>36</v>
      </c>
      <c r="P62" s="2" t="s">
        <v>36</v>
      </c>
      <c r="Q62" s="2">
        <v>44318</v>
      </c>
      <c r="R62" s="2">
        <v>44340</v>
      </c>
      <c r="S62" s="1">
        <f t="shared" si="2"/>
        <v>22</v>
      </c>
      <c r="T62" s="1" t="s">
        <v>43</v>
      </c>
      <c r="U62" s="1" t="s">
        <v>33</v>
      </c>
    </row>
    <row r="63" spans="1:21" x14ac:dyDescent="0.25">
      <c r="A63" s="2">
        <v>44209</v>
      </c>
      <c r="B63" s="1" t="s">
        <v>24</v>
      </c>
      <c r="C63" t="s">
        <v>113</v>
      </c>
      <c r="D63" t="s">
        <v>114</v>
      </c>
      <c r="E63" t="s">
        <v>88</v>
      </c>
      <c r="F63" s="29" t="s">
        <v>26</v>
      </c>
      <c r="G63" s="1" t="s">
        <v>29</v>
      </c>
      <c r="H63" s="1">
        <f t="shared" ca="1" si="0"/>
        <v>23</v>
      </c>
      <c r="I63" s="1" t="s">
        <v>36</v>
      </c>
      <c r="J63" t="s">
        <v>35</v>
      </c>
      <c r="K63" s="3" t="s">
        <v>115</v>
      </c>
      <c r="L63" s="1" t="s">
        <v>30</v>
      </c>
      <c r="M63" s="2">
        <v>44232</v>
      </c>
      <c r="N63" s="1" t="str">
        <f t="shared" si="1"/>
        <v>Closed</v>
      </c>
      <c r="O63" s="2" t="s">
        <v>36</v>
      </c>
      <c r="P63" s="2" t="s">
        <v>36</v>
      </c>
      <c r="Q63" s="2">
        <v>44242</v>
      </c>
      <c r="R63" s="2">
        <v>44242</v>
      </c>
      <c r="S63" s="1">
        <f t="shared" si="2"/>
        <v>0</v>
      </c>
      <c r="T63" s="1" t="s">
        <v>43</v>
      </c>
      <c r="U63" s="1" t="s">
        <v>34</v>
      </c>
    </row>
    <row r="64" spans="1:21" x14ac:dyDescent="0.25">
      <c r="A64" s="2">
        <v>44414</v>
      </c>
      <c r="B64" s="1" t="s">
        <v>22</v>
      </c>
      <c r="C64" t="s">
        <v>113</v>
      </c>
      <c r="D64" t="s">
        <v>114</v>
      </c>
      <c r="E64" t="s">
        <v>90</v>
      </c>
      <c r="F64" s="29" t="s">
        <v>27</v>
      </c>
      <c r="G64" s="1" t="s">
        <v>42</v>
      </c>
      <c r="H64" s="1">
        <f t="shared" ca="1" si="0"/>
        <v>20</v>
      </c>
      <c r="I64" s="1" t="s">
        <v>36</v>
      </c>
      <c r="J64" t="s">
        <v>35</v>
      </c>
      <c r="K64" s="3" t="s">
        <v>115</v>
      </c>
      <c r="L64" s="1" t="s">
        <v>30</v>
      </c>
      <c r="M64" s="2">
        <v>44434</v>
      </c>
      <c r="N64" s="1" t="str">
        <f t="shared" si="1"/>
        <v>Closed</v>
      </c>
      <c r="O64" s="2" t="s">
        <v>36</v>
      </c>
      <c r="P64" s="2" t="s">
        <v>36</v>
      </c>
      <c r="Q64" s="2">
        <v>44434</v>
      </c>
      <c r="R64" s="2">
        <v>44434</v>
      </c>
      <c r="S64" s="1">
        <f t="shared" si="2"/>
        <v>0</v>
      </c>
      <c r="T64" s="1" t="s">
        <v>38</v>
      </c>
      <c r="U64" s="1" t="s">
        <v>32</v>
      </c>
    </row>
    <row r="65" spans="1:21" x14ac:dyDescent="0.25">
      <c r="A65" s="2">
        <v>44228</v>
      </c>
      <c r="B65" s="1" t="s">
        <v>22</v>
      </c>
      <c r="C65" t="s">
        <v>113</v>
      </c>
      <c r="D65" t="s">
        <v>114</v>
      </c>
      <c r="E65" t="s">
        <v>89</v>
      </c>
      <c r="F65" s="29" t="s">
        <v>27</v>
      </c>
      <c r="G65" s="1" t="s">
        <v>42</v>
      </c>
      <c r="H65" s="1">
        <f t="shared" ca="1" si="0"/>
        <v>74</v>
      </c>
      <c r="I65" s="1" t="s">
        <v>36</v>
      </c>
      <c r="J65" t="s">
        <v>35</v>
      </c>
      <c r="K65" s="3" t="s">
        <v>115</v>
      </c>
      <c r="L65" s="1" t="s">
        <v>30</v>
      </c>
      <c r="M65" s="2">
        <v>44302</v>
      </c>
      <c r="N65" s="1" t="str">
        <f t="shared" si="1"/>
        <v>Closed</v>
      </c>
      <c r="O65" s="2" t="s">
        <v>36</v>
      </c>
      <c r="P65" s="2" t="s">
        <v>36</v>
      </c>
      <c r="Q65" s="2">
        <v>44312</v>
      </c>
      <c r="R65" s="2">
        <v>44312</v>
      </c>
      <c r="S65" s="1">
        <f t="shared" si="2"/>
        <v>0</v>
      </c>
      <c r="T65" s="1" t="s">
        <v>38</v>
      </c>
      <c r="U65" s="1" t="s">
        <v>32</v>
      </c>
    </row>
    <row r="66" spans="1:21" x14ac:dyDescent="0.25">
      <c r="A66" s="2">
        <v>44427</v>
      </c>
      <c r="B66" s="1" t="s">
        <v>23</v>
      </c>
      <c r="C66" t="s">
        <v>113</v>
      </c>
      <c r="D66" t="s">
        <v>114</v>
      </c>
      <c r="E66" t="s">
        <v>87</v>
      </c>
      <c r="F66" s="29" t="s">
        <v>25</v>
      </c>
      <c r="G66" s="1" t="s">
        <v>28</v>
      </c>
      <c r="H66" s="1">
        <f t="shared" ca="1" si="0"/>
        <v>82</v>
      </c>
      <c r="I66" s="1" t="s">
        <v>36</v>
      </c>
      <c r="J66" t="s">
        <v>35</v>
      </c>
      <c r="K66" s="3" t="s">
        <v>115</v>
      </c>
      <c r="L66" s="1" t="s">
        <v>31</v>
      </c>
      <c r="M66" s="2" t="s">
        <v>36</v>
      </c>
      <c r="N66" s="1" t="str">
        <f t="shared" si="1"/>
        <v>Open</v>
      </c>
      <c r="O66" s="2" t="s">
        <v>36</v>
      </c>
      <c r="P66" s="2" t="s">
        <v>36</v>
      </c>
      <c r="Q66" s="2">
        <v>44459</v>
      </c>
      <c r="R66" s="2">
        <v>44459</v>
      </c>
      <c r="S66" s="1">
        <f t="shared" si="2"/>
        <v>0</v>
      </c>
      <c r="T66" s="1" t="s">
        <v>38</v>
      </c>
      <c r="U66" s="1" t="s">
        <v>33</v>
      </c>
    </row>
    <row r="67" spans="1:21" x14ac:dyDescent="0.25">
      <c r="A67" s="2">
        <v>44529</v>
      </c>
      <c r="B67" s="1" t="s">
        <v>23</v>
      </c>
      <c r="C67" t="s">
        <v>113</v>
      </c>
      <c r="D67" t="s">
        <v>114</v>
      </c>
      <c r="E67" t="s">
        <v>88</v>
      </c>
      <c r="F67" s="29" t="s">
        <v>25</v>
      </c>
      <c r="G67" s="1" t="s">
        <v>28</v>
      </c>
      <c r="H67" s="1">
        <f t="shared" ca="1" si="0"/>
        <v>66</v>
      </c>
      <c r="I67" s="1" t="s">
        <v>36</v>
      </c>
      <c r="J67" t="s">
        <v>35</v>
      </c>
      <c r="K67" s="3" t="s">
        <v>115</v>
      </c>
      <c r="L67" s="1" t="s">
        <v>30</v>
      </c>
      <c r="M67" s="2">
        <v>44595</v>
      </c>
      <c r="N67" s="1" t="str">
        <f t="shared" si="1"/>
        <v>Closed</v>
      </c>
      <c r="O67" s="2" t="s">
        <v>36</v>
      </c>
      <c r="P67" s="2" t="s">
        <v>36</v>
      </c>
      <c r="Q67" s="2">
        <v>44603</v>
      </c>
      <c r="R67" s="2">
        <v>44603</v>
      </c>
      <c r="S67" s="1">
        <f t="shared" si="2"/>
        <v>0</v>
      </c>
      <c r="T67" s="1" t="s">
        <v>43</v>
      </c>
      <c r="U67" s="1" t="s">
        <v>33</v>
      </c>
    </row>
    <row r="68" spans="1:21" x14ac:dyDescent="0.25">
      <c r="A68" s="2">
        <v>44532</v>
      </c>
      <c r="B68" s="1" t="s">
        <v>23</v>
      </c>
      <c r="C68" t="s">
        <v>113</v>
      </c>
      <c r="D68" t="s">
        <v>114</v>
      </c>
      <c r="E68" t="s">
        <v>89</v>
      </c>
      <c r="F68" s="29" t="s">
        <v>25</v>
      </c>
      <c r="G68" s="1" t="s">
        <v>28</v>
      </c>
      <c r="H68" s="1">
        <f t="shared" ca="1" si="0"/>
        <v>38</v>
      </c>
      <c r="I68" s="1" t="s">
        <v>36</v>
      </c>
      <c r="J68" t="s">
        <v>35</v>
      </c>
      <c r="K68" s="3" t="s">
        <v>115</v>
      </c>
      <c r="L68" s="1" t="s">
        <v>31</v>
      </c>
      <c r="M68" s="2">
        <v>44570</v>
      </c>
      <c r="N68" s="1" t="str">
        <f t="shared" si="1"/>
        <v>Closed</v>
      </c>
      <c r="O68" s="2" t="s">
        <v>36</v>
      </c>
      <c r="P68" s="2" t="s">
        <v>36</v>
      </c>
      <c r="Q68" s="2">
        <v>44571</v>
      </c>
      <c r="R68" s="2">
        <v>44571</v>
      </c>
      <c r="S68" s="1">
        <f t="shared" si="2"/>
        <v>0</v>
      </c>
      <c r="T68" s="1" t="s">
        <v>38</v>
      </c>
      <c r="U68" s="1" t="s">
        <v>33</v>
      </c>
    </row>
    <row r="69" spans="1:21" x14ac:dyDescent="0.25">
      <c r="A69" s="2">
        <v>44556</v>
      </c>
      <c r="B69" s="1" t="s">
        <v>23</v>
      </c>
      <c r="C69" t="s">
        <v>113</v>
      </c>
      <c r="D69" t="s">
        <v>114</v>
      </c>
      <c r="E69" t="s">
        <v>89</v>
      </c>
      <c r="F69" s="29" t="s">
        <v>25</v>
      </c>
      <c r="G69" s="1" t="s">
        <v>28</v>
      </c>
      <c r="H69" s="1">
        <f t="shared" ca="1" si="0"/>
        <v>49</v>
      </c>
      <c r="I69" s="1" t="s">
        <v>36</v>
      </c>
      <c r="J69" t="s">
        <v>35</v>
      </c>
      <c r="K69" s="3" t="s">
        <v>115</v>
      </c>
      <c r="L69" s="1" t="s">
        <v>30</v>
      </c>
      <c r="M69" s="2">
        <v>44605</v>
      </c>
      <c r="N69" s="1" t="str">
        <f t="shared" si="1"/>
        <v>Closed</v>
      </c>
      <c r="O69" s="2" t="s">
        <v>36</v>
      </c>
      <c r="P69" s="2" t="s">
        <v>36</v>
      </c>
      <c r="Q69" s="2">
        <v>44611</v>
      </c>
      <c r="R69" s="2">
        <v>44611</v>
      </c>
      <c r="S69" s="1">
        <f t="shared" si="2"/>
        <v>0</v>
      </c>
      <c r="T69" s="1" t="s">
        <v>43</v>
      </c>
      <c r="U69" s="1" t="s">
        <v>33</v>
      </c>
    </row>
    <row r="70" spans="1:21" x14ac:dyDescent="0.25">
      <c r="A70" s="2">
        <v>44446</v>
      </c>
      <c r="B70" s="1" t="s">
        <v>24</v>
      </c>
      <c r="C70" t="s">
        <v>113</v>
      </c>
      <c r="D70" t="s">
        <v>114</v>
      </c>
      <c r="E70" t="s">
        <v>90</v>
      </c>
      <c r="F70" s="29" t="s">
        <v>26</v>
      </c>
      <c r="G70" s="1" t="s">
        <v>29</v>
      </c>
      <c r="H70" s="1">
        <f t="shared" ca="1" si="0"/>
        <v>63</v>
      </c>
      <c r="I70" s="1" t="s">
        <v>36</v>
      </c>
      <c r="J70" t="s">
        <v>35</v>
      </c>
      <c r="K70" s="3" t="s">
        <v>115</v>
      </c>
      <c r="L70" s="1" t="s">
        <v>31</v>
      </c>
      <c r="M70" s="2" t="s">
        <v>36</v>
      </c>
      <c r="N70" s="1" t="str">
        <f t="shared" si="1"/>
        <v>Open</v>
      </c>
      <c r="O70" s="2" t="s">
        <v>36</v>
      </c>
      <c r="P70" s="2" t="s">
        <v>36</v>
      </c>
      <c r="Q70" s="2">
        <v>44481</v>
      </c>
      <c r="R70" s="2">
        <v>44481</v>
      </c>
      <c r="S70" s="1">
        <f t="shared" si="2"/>
        <v>0</v>
      </c>
      <c r="T70" s="1" t="s">
        <v>38</v>
      </c>
      <c r="U70" s="1" t="s">
        <v>34</v>
      </c>
    </row>
    <row r="71" spans="1:21" x14ac:dyDescent="0.25">
      <c r="A71" s="2">
        <v>44295</v>
      </c>
      <c r="B71" s="1" t="s">
        <v>23</v>
      </c>
      <c r="C71" t="s">
        <v>113</v>
      </c>
      <c r="D71" t="s">
        <v>114</v>
      </c>
      <c r="E71" t="s">
        <v>87</v>
      </c>
      <c r="F71" s="29" t="s">
        <v>25</v>
      </c>
      <c r="G71" s="1" t="s">
        <v>28</v>
      </c>
      <c r="H71" s="1">
        <f t="shared" ca="1" si="0"/>
        <v>31</v>
      </c>
      <c r="I71" s="1" t="s">
        <v>36</v>
      </c>
      <c r="J71" t="s">
        <v>35</v>
      </c>
      <c r="K71" s="3" t="s">
        <v>115</v>
      </c>
      <c r="L71" s="1" t="s">
        <v>31</v>
      </c>
      <c r="M71" s="2">
        <v>44326</v>
      </c>
      <c r="N71" s="1" t="str">
        <f t="shared" si="1"/>
        <v>Closed</v>
      </c>
      <c r="O71" s="2" t="s">
        <v>36</v>
      </c>
      <c r="P71" s="2" t="s">
        <v>36</v>
      </c>
      <c r="Q71" s="2">
        <v>44324</v>
      </c>
      <c r="R71" s="2">
        <v>44337</v>
      </c>
      <c r="S71" s="1">
        <f t="shared" si="2"/>
        <v>13</v>
      </c>
      <c r="T71" s="1" t="s">
        <v>43</v>
      </c>
      <c r="U71" s="1" t="s">
        <v>33</v>
      </c>
    </row>
    <row r="72" spans="1:21" x14ac:dyDescent="0.25">
      <c r="A72" s="2">
        <v>44288</v>
      </c>
      <c r="B72" s="1" t="s">
        <v>22</v>
      </c>
      <c r="C72" t="s">
        <v>113</v>
      </c>
      <c r="D72" t="s">
        <v>114</v>
      </c>
      <c r="E72" t="s">
        <v>89</v>
      </c>
      <c r="F72" s="29" t="s">
        <v>27</v>
      </c>
      <c r="G72" s="1" t="s">
        <v>42</v>
      </c>
      <c r="H72" s="1">
        <f t="shared" ca="1" si="0"/>
        <v>68</v>
      </c>
      <c r="I72" s="1" t="s">
        <v>36</v>
      </c>
      <c r="J72" t="s">
        <v>35</v>
      </c>
      <c r="K72" s="3" t="s">
        <v>115</v>
      </c>
      <c r="L72" s="1" t="s">
        <v>30</v>
      </c>
      <c r="M72" s="2">
        <v>44356</v>
      </c>
      <c r="N72" s="1" t="str">
        <f t="shared" si="1"/>
        <v>Closed</v>
      </c>
      <c r="O72" s="2" t="s">
        <v>36</v>
      </c>
      <c r="P72" s="2" t="s">
        <v>36</v>
      </c>
      <c r="Q72" s="2">
        <v>44366</v>
      </c>
      <c r="R72" s="2">
        <v>44366</v>
      </c>
      <c r="S72" s="1">
        <f t="shared" si="2"/>
        <v>0</v>
      </c>
      <c r="T72" s="1" t="s">
        <v>43</v>
      </c>
      <c r="U72" s="1" t="s">
        <v>32</v>
      </c>
    </row>
    <row r="73" spans="1:21" x14ac:dyDescent="0.25">
      <c r="A73" s="2">
        <v>44264</v>
      </c>
      <c r="B73" s="1" t="s">
        <v>22</v>
      </c>
      <c r="C73" t="s">
        <v>113</v>
      </c>
      <c r="D73" t="s">
        <v>114</v>
      </c>
      <c r="E73" t="s">
        <v>89</v>
      </c>
      <c r="F73" s="29" t="s">
        <v>27</v>
      </c>
      <c r="G73" s="1" t="s">
        <v>42</v>
      </c>
      <c r="H73" s="1">
        <f t="shared" ref="H73:H126" ca="1" si="3">IF(A73="","",IF(ISNUMBER(M73),M73-A73,TODAY()-A73))</f>
        <v>23</v>
      </c>
      <c r="I73" s="1" t="s">
        <v>36</v>
      </c>
      <c r="J73" t="s">
        <v>35</v>
      </c>
      <c r="K73" s="3" t="s">
        <v>115</v>
      </c>
      <c r="L73" s="1" t="s">
        <v>31</v>
      </c>
      <c r="M73" s="2">
        <v>44287</v>
      </c>
      <c r="N73" s="1" t="str">
        <f t="shared" ref="N73:N126" si="4">IF(M73="","",IF(ISNUMBER(M73),"Closed","Open"))</f>
        <v>Closed</v>
      </c>
      <c r="O73" s="2" t="s">
        <v>36</v>
      </c>
      <c r="P73" s="2" t="s">
        <v>36</v>
      </c>
      <c r="Q73" s="2">
        <v>44297</v>
      </c>
      <c r="R73" s="2">
        <v>44297</v>
      </c>
      <c r="S73" s="1">
        <f t="shared" ref="S73:S126" si="5">IF(Q73="","",R73-Q73)</f>
        <v>0</v>
      </c>
      <c r="T73" s="1" t="s">
        <v>43</v>
      </c>
      <c r="U73" s="1" t="s">
        <v>32</v>
      </c>
    </row>
    <row r="74" spans="1:21" x14ac:dyDescent="0.25">
      <c r="A74" s="2">
        <v>44552</v>
      </c>
      <c r="B74" s="1" t="s">
        <v>22</v>
      </c>
      <c r="C74" t="s">
        <v>113</v>
      </c>
      <c r="D74" t="s">
        <v>114</v>
      </c>
      <c r="E74" t="s">
        <v>89</v>
      </c>
      <c r="F74" s="29" t="s">
        <v>27</v>
      </c>
      <c r="G74" s="1" t="s">
        <v>42</v>
      </c>
      <c r="H74" s="1">
        <f t="shared" ca="1" si="3"/>
        <v>71</v>
      </c>
      <c r="I74" s="1" t="s">
        <v>36</v>
      </c>
      <c r="J74" t="s">
        <v>35</v>
      </c>
      <c r="K74" s="3" t="s">
        <v>115</v>
      </c>
      <c r="L74" s="1" t="s">
        <v>30</v>
      </c>
      <c r="M74" s="2">
        <v>44623</v>
      </c>
      <c r="N74" s="1" t="str">
        <f t="shared" si="4"/>
        <v>Closed</v>
      </c>
      <c r="O74" s="2" t="s">
        <v>36</v>
      </c>
      <c r="P74" s="2" t="s">
        <v>36</v>
      </c>
      <c r="Q74" s="2">
        <v>44616</v>
      </c>
      <c r="R74" s="2">
        <v>44632</v>
      </c>
      <c r="S74" s="1">
        <f t="shared" si="5"/>
        <v>16</v>
      </c>
      <c r="T74" s="1" t="s">
        <v>43</v>
      </c>
      <c r="U74" s="1" t="s">
        <v>32</v>
      </c>
    </row>
    <row r="75" spans="1:21" x14ac:dyDescent="0.25">
      <c r="A75" s="2">
        <v>44528</v>
      </c>
      <c r="B75" s="1" t="s">
        <v>22</v>
      </c>
      <c r="C75" t="s">
        <v>113</v>
      </c>
      <c r="D75" t="s">
        <v>114</v>
      </c>
      <c r="E75" t="s">
        <v>89</v>
      </c>
      <c r="F75" s="29" t="s">
        <v>27</v>
      </c>
      <c r="G75" s="1" t="s">
        <v>42</v>
      </c>
      <c r="H75" s="1">
        <f t="shared" ca="1" si="3"/>
        <v>52</v>
      </c>
      <c r="I75" s="1" t="s">
        <v>36</v>
      </c>
      <c r="J75" t="s">
        <v>35</v>
      </c>
      <c r="K75" s="3" t="s">
        <v>115</v>
      </c>
      <c r="L75" s="1" t="s">
        <v>31</v>
      </c>
      <c r="M75" s="2">
        <v>44580</v>
      </c>
      <c r="N75" s="1" t="str">
        <f t="shared" si="4"/>
        <v>Closed</v>
      </c>
      <c r="O75" s="2" t="s">
        <v>36</v>
      </c>
      <c r="P75" s="2" t="s">
        <v>36</v>
      </c>
      <c r="Q75" s="2">
        <v>44568</v>
      </c>
      <c r="R75" s="2">
        <v>44591</v>
      </c>
      <c r="S75" s="1">
        <f t="shared" si="5"/>
        <v>23</v>
      </c>
      <c r="T75" s="1" t="s">
        <v>38</v>
      </c>
      <c r="U75" s="1" t="s">
        <v>32</v>
      </c>
    </row>
    <row r="76" spans="1:21" x14ac:dyDescent="0.25">
      <c r="A76" s="2">
        <v>44506</v>
      </c>
      <c r="B76" s="1" t="s">
        <v>24</v>
      </c>
      <c r="C76" t="s">
        <v>113</v>
      </c>
      <c r="D76" t="s">
        <v>114</v>
      </c>
      <c r="E76" t="s">
        <v>90</v>
      </c>
      <c r="F76" s="29" t="s">
        <v>26</v>
      </c>
      <c r="G76" s="1" t="s">
        <v>29</v>
      </c>
      <c r="H76" s="1">
        <f t="shared" ca="1" si="3"/>
        <v>3</v>
      </c>
      <c r="I76" s="1" t="s">
        <v>36</v>
      </c>
      <c r="J76" t="s">
        <v>35</v>
      </c>
      <c r="K76" s="3" t="s">
        <v>115</v>
      </c>
      <c r="L76" s="1" t="s">
        <v>30</v>
      </c>
      <c r="M76" s="2" t="s">
        <v>36</v>
      </c>
      <c r="N76" s="1" t="str">
        <f t="shared" si="4"/>
        <v>Open</v>
      </c>
      <c r="O76" s="2" t="s">
        <v>36</v>
      </c>
      <c r="P76" s="2" t="s">
        <v>36</v>
      </c>
      <c r="Q76" s="2">
        <v>44546</v>
      </c>
      <c r="R76" s="2">
        <v>44546</v>
      </c>
      <c r="S76" s="1">
        <f t="shared" si="5"/>
        <v>0</v>
      </c>
      <c r="T76" s="1" t="s">
        <v>43</v>
      </c>
      <c r="U76" s="1" t="s">
        <v>34</v>
      </c>
    </row>
    <row r="77" spans="1:21" x14ac:dyDescent="0.25">
      <c r="A77" s="2">
        <v>44459</v>
      </c>
      <c r="B77" s="1" t="s">
        <v>22</v>
      </c>
      <c r="C77" t="s">
        <v>113</v>
      </c>
      <c r="D77" t="s">
        <v>114</v>
      </c>
      <c r="E77" t="s">
        <v>87</v>
      </c>
      <c r="F77" s="29" t="s">
        <v>27</v>
      </c>
      <c r="G77" s="1" t="s">
        <v>42</v>
      </c>
      <c r="H77" s="1">
        <f t="shared" ca="1" si="3"/>
        <v>27</v>
      </c>
      <c r="I77" s="1" t="s">
        <v>36</v>
      </c>
      <c r="J77" t="s">
        <v>35</v>
      </c>
      <c r="K77" s="3" t="s">
        <v>115</v>
      </c>
      <c r="L77" s="1" t="s">
        <v>30</v>
      </c>
      <c r="M77" s="2">
        <v>44486</v>
      </c>
      <c r="N77" s="1" t="str">
        <f t="shared" si="4"/>
        <v>Closed</v>
      </c>
      <c r="O77" s="2" t="s">
        <v>36</v>
      </c>
      <c r="P77" s="2" t="s">
        <v>36</v>
      </c>
      <c r="Q77" s="2">
        <v>44494</v>
      </c>
      <c r="R77" s="2">
        <v>44494</v>
      </c>
      <c r="S77" s="1">
        <f t="shared" si="5"/>
        <v>0</v>
      </c>
      <c r="T77" s="1" t="s">
        <v>38</v>
      </c>
      <c r="U77" s="1" t="s">
        <v>32</v>
      </c>
    </row>
    <row r="78" spans="1:21" x14ac:dyDescent="0.25">
      <c r="A78" s="2">
        <v>44329</v>
      </c>
      <c r="B78" s="1" t="s">
        <v>24</v>
      </c>
      <c r="C78" t="s">
        <v>113</v>
      </c>
      <c r="D78" t="s">
        <v>114</v>
      </c>
      <c r="E78" t="s">
        <v>88</v>
      </c>
      <c r="F78" s="29" t="s">
        <v>26</v>
      </c>
      <c r="G78" s="1" t="s">
        <v>29</v>
      </c>
      <c r="H78" s="1">
        <f t="shared" ca="1" si="3"/>
        <v>180</v>
      </c>
      <c r="I78" s="1" t="s">
        <v>36</v>
      </c>
      <c r="J78" t="s">
        <v>35</v>
      </c>
      <c r="K78" s="3" t="s">
        <v>115</v>
      </c>
      <c r="L78" s="1" t="s">
        <v>30</v>
      </c>
      <c r="M78" s="2" t="s">
        <v>36</v>
      </c>
      <c r="N78" s="1" t="str">
        <f t="shared" si="4"/>
        <v>Open</v>
      </c>
      <c r="O78" s="2" t="s">
        <v>36</v>
      </c>
      <c r="P78" s="2" t="s">
        <v>36</v>
      </c>
      <c r="Q78" s="2">
        <v>44349</v>
      </c>
      <c r="R78" s="2">
        <v>44349</v>
      </c>
      <c r="S78" s="1">
        <f t="shared" si="5"/>
        <v>0</v>
      </c>
      <c r="T78" s="1" t="s">
        <v>38</v>
      </c>
      <c r="U78" s="1" t="s">
        <v>34</v>
      </c>
    </row>
    <row r="79" spans="1:21" x14ac:dyDescent="0.25">
      <c r="A79" s="2">
        <v>44232</v>
      </c>
      <c r="B79" s="1" t="s">
        <v>23</v>
      </c>
      <c r="C79" t="s">
        <v>113</v>
      </c>
      <c r="D79" t="s">
        <v>114</v>
      </c>
      <c r="E79" t="s">
        <v>89</v>
      </c>
      <c r="F79" s="29" t="s">
        <v>25</v>
      </c>
      <c r="G79" s="1" t="s">
        <v>28</v>
      </c>
      <c r="H79" s="1">
        <f t="shared" ca="1" si="3"/>
        <v>30</v>
      </c>
      <c r="I79" s="1" t="s">
        <v>36</v>
      </c>
      <c r="J79" t="s">
        <v>35</v>
      </c>
      <c r="K79" s="3" t="s">
        <v>115</v>
      </c>
      <c r="L79" s="1" t="s">
        <v>30</v>
      </c>
      <c r="M79" s="2">
        <v>44262</v>
      </c>
      <c r="N79" s="1" t="str">
        <f t="shared" si="4"/>
        <v>Closed</v>
      </c>
      <c r="O79" s="2" t="s">
        <v>36</v>
      </c>
      <c r="P79" s="2" t="s">
        <v>36</v>
      </c>
      <c r="Q79" s="2">
        <v>44255</v>
      </c>
      <c r="R79" s="2">
        <v>44272</v>
      </c>
      <c r="S79" s="1">
        <f t="shared" si="5"/>
        <v>17</v>
      </c>
      <c r="T79" s="1" t="s">
        <v>43</v>
      </c>
      <c r="U79" s="1" t="s">
        <v>33</v>
      </c>
    </row>
    <row r="80" spans="1:21" x14ac:dyDescent="0.25">
      <c r="A80" s="2">
        <v>44424</v>
      </c>
      <c r="B80" s="1" t="s">
        <v>23</v>
      </c>
      <c r="C80" t="s">
        <v>113</v>
      </c>
      <c r="D80" t="s">
        <v>114</v>
      </c>
      <c r="E80" t="s">
        <v>89</v>
      </c>
      <c r="F80" s="29" t="s">
        <v>25</v>
      </c>
      <c r="G80" s="1" t="s">
        <v>28</v>
      </c>
      <c r="H80" s="1">
        <f t="shared" ca="1" si="3"/>
        <v>62</v>
      </c>
      <c r="I80" s="1" t="s">
        <v>36</v>
      </c>
      <c r="J80" t="s">
        <v>35</v>
      </c>
      <c r="K80" s="3" t="s">
        <v>115</v>
      </c>
      <c r="L80" s="1" t="s">
        <v>31</v>
      </c>
      <c r="M80" s="2">
        <v>44486</v>
      </c>
      <c r="N80" s="1" t="str">
        <f t="shared" si="4"/>
        <v>Closed</v>
      </c>
      <c r="O80" s="2" t="s">
        <v>36</v>
      </c>
      <c r="P80" s="2" t="s">
        <v>36</v>
      </c>
      <c r="Q80" s="2">
        <v>44493</v>
      </c>
      <c r="R80" s="2">
        <v>44493</v>
      </c>
      <c r="S80" s="1">
        <f t="shared" si="5"/>
        <v>0</v>
      </c>
      <c r="T80" s="1" t="s">
        <v>43</v>
      </c>
      <c r="U80" s="1" t="s">
        <v>33</v>
      </c>
    </row>
    <row r="81" spans="1:21" x14ac:dyDescent="0.25">
      <c r="A81" s="2">
        <v>44373</v>
      </c>
      <c r="B81" s="1" t="s">
        <v>23</v>
      </c>
      <c r="C81" t="s">
        <v>113</v>
      </c>
      <c r="D81" t="s">
        <v>114</v>
      </c>
      <c r="E81" t="s">
        <v>88</v>
      </c>
      <c r="F81" s="29" t="s">
        <v>25</v>
      </c>
      <c r="G81" s="1" t="s">
        <v>28</v>
      </c>
      <c r="H81" s="1">
        <f t="shared" ca="1" si="3"/>
        <v>42</v>
      </c>
      <c r="I81" s="1" t="s">
        <v>36</v>
      </c>
      <c r="J81" t="s">
        <v>35</v>
      </c>
      <c r="K81" s="3" t="s">
        <v>115</v>
      </c>
      <c r="L81" s="1" t="s">
        <v>31</v>
      </c>
      <c r="M81" s="2">
        <v>44415</v>
      </c>
      <c r="N81" s="1" t="str">
        <f t="shared" si="4"/>
        <v>Closed</v>
      </c>
      <c r="O81" s="2" t="s">
        <v>36</v>
      </c>
      <c r="P81" s="2" t="s">
        <v>36</v>
      </c>
      <c r="Q81" s="2">
        <v>44427</v>
      </c>
      <c r="R81" s="2">
        <v>44427</v>
      </c>
      <c r="S81" s="1">
        <f t="shared" si="5"/>
        <v>0</v>
      </c>
      <c r="T81" s="1" t="s">
        <v>43</v>
      </c>
      <c r="U81" s="1" t="s">
        <v>33</v>
      </c>
    </row>
    <row r="82" spans="1:21" x14ac:dyDescent="0.25">
      <c r="A82" s="2">
        <v>44439</v>
      </c>
      <c r="B82" s="1" t="s">
        <v>23</v>
      </c>
      <c r="C82" t="s">
        <v>113</v>
      </c>
      <c r="D82" t="s">
        <v>114</v>
      </c>
      <c r="E82" t="s">
        <v>87</v>
      </c>
      <c r="F82" s="29" t="s">
        <v>25</v>
      </c>
      <c r="G82" s="1" t="s">
        <v>28</v>
      </c>
      <c r="H82" s="1">
        <f t="shared" ca="1" si="3"/>
        <v>70</v>
      </c>
      <c r="I82" s="1" t="s">
        <v>36</v>
      </c>
      <c r="J82" t="s">
        <v>35</v>
      </c>
      <c r="K82" s="3" t="s">
        <v>115</v>
      </c>
      <c r="L82" s="1" t="s">
        <v>30</v>
      </c>
      <c r="M82" s="2" t="s">
        <v>36</v>
      </c>
      <c r="N82" s="1" t="str">
        <f t="shared" si="4"/>
        <v>Open</v>
      </c>
      <c r="O82" s="2" t="s">
        <v>36</v>
      </c>
      <c r="P82" s="2" t="s">
        <v>36</v>
      </c>
      <c r="Q82" s="2">
        <v>44466</v>
      </c>
      <c r="R82" s="2">
        <v>44466</v>
      </c>
      <c r="S82" s="1">
        <f t="shared" si="5"/>
        <v>0</v>
      </c>
      <c r="T82" s="1" t="s">
        <v>43</v>
      </c>
      <c r="U82" s="1" t="s">
        <v>33</v>
      </c>
    </row>
    <row r="83" spans="1:21" x14ac:dyDescent="0.25">
      <c r="A83" s="2">
        <v>44382</v>
      </c>
      <c r="B83" s="1" t="s">
        <v>23</v>
      </c>
      <c r="C83" t="s">
        <v>113</v>
      </c>
      <c r="D83" t="s">
        <v>114</v>
      </c>
      <c r="E83" t="s">
        <v>90</v>
      </c>
      <c r="F83" s="29" t="s">
        <v>25</v>
      </c>
      <c r="G83" s="1" t="s">
        <v>28</v>
      </c>
      <c r="H83" s="1">
        <f t="shared" ca="1" si="3"/>
        <v>65</v>
      </c>
      <c r="I83" s="1" t="s">
        <v>36</v>
      </c>
      <c r="J83" t="s">
        <v>35</v>
      </c>
      <c r="K83" s="3" t="s">
        <v>115</v>
      </c>
      <c r="L83" s="1" t="s">
        <v>31</v>
      </c>
      <c r="M83" s="2">
        <v>44447</v>
      </c>
      <c r="N83" s="1" t="str">
        <f t="shared" si="4"/>
        <v>Closed</v>
      </c>
      <c r="O83" s="2" t="s">
        <v>36</v>
      </c>
      <c r="P83" s="2" t="s">
        <v>36</v>
      </c>
      <c r="Q83" s="2">
        <v>44451</v>
      </c>
      <c r="R83" s="2">
        <v>44451</v>
      </c>
      <c r="S83" s="1">
        <f t="shared" si="5"/>
        <v>0</v>
      </c>
      <c r="T83" s="1" t="s">
        <v>38</v>
      </c>
      <c r="U83" s="1" t="s">
        <v>33</v>
      </c>
    </row>
    <row r="84" spans="1:21" x14ac:dyDescent="0.25">
      <c r="A84" s="2">
        <v>44219</v>
      </c>
      <c r="B84" s="1" t="s">
        <v>22</v>
      </c>
      <c r="C84" t="s">
        <v>113</v>
      </c>
      <c r="D84" t="s">
        <v>114</v>
      </c>
      <c r="E84" t="s">
        <v>87</v>
      </c>
      <c r="F84" s="29" t="s">
        <v>27</v>
      </c>
      <c r="G84" s="1" t="s">
        <v>42</v>
      </c>
      <c r="H84" s="1">
        <f t="shared" ca="1" si="3"/>
        <v>44</v>
      </c>
      <c r="I84" s="1" t="s">
        <v>36</v>
      </c>
      <c r="J84" t="s">
        <v>35</v>
      </c>
      <c r="K84" s="3" t="s">
        <v>115</v>
      </c>
      <c r="L84" s="1" t="s">
        <v>31</v>
      </c>
      <c r="M84" s="2">
        <v>44263</v>
      </c>
      <c r="N84" s="1" t="str">
        <f t="shared" si="4"/>
        <v>Closed</v>
      </c>
      <c r="O84" s="2" t="s">
        <v>36</v>
      </c>
      <c r="P84" s="2" t="s">
        <v>36</v>
      </c>
      <c r="Q84" s="2">
        <v>44277</v>
      </c>
      <c r="R84" s="2">
        <v>44277</v>
      </c>
      <c r="S84" s="1">
        <f t="shared" si="5"/>
        <v>0</v>
      </c>
      <c r="T84" s="1" t="s">
        <v>43</v>
      </c>
      <c r="U84" s="1" t="s">
        <v>32</v>
      </c>
    </row>
    <row r="85" spans="1:21" x14ac:dyDescent="0.25">
      <c r="A85" s="2">
        <v>44556</v>
      </c>
      <c r="B85" s="1" t="s">
        <v>23</v>
      </c>
      <c r="C85" t="s">
        <v>113</v>
      </c>
      <c r="D85" t="s">
        <v>114</v>
      </c>
      <c r="E85" t="s">
        <v>89</v>
      </c>
      <c r="F85" s="29" t="s">
        <v>25</v>
      </c>
      <c r="G85" s="1" t="s">
        <v>28</v>
      </c>
      <c r="H85" s="1">
        <f t="shared" ca="1" si="3"/>
        <v>59</v>
      </c>
      <c r="I85" s="1" t="s">
        <v>36</v>
      </c>
      <c r="J85" t="s">
        <v>35</v>
      </c>
      <c r="K85" s="3" t="s">
        <v>115</v>
      </c>
      <c r="L85" s="1" t="s">
        <v>31</v>
      </c>
      <c r="M85" s="2">
        <v>44615</v>
      </c>
      <c r="N85" s="1" t="str">
        <f t="shared" si="4"/>
        <v>Closed</v>
      </c>
      <c r="O85" s="2" t="s">
        <v>36</v>
      </c>
      <c r="P85" s="2" t="s">
        <v>36</v>
      </c>
      <c r="Q85" s="2">
        <v>44608</v>
      </c>
      <c r="R85" s="2">
        <v>44623</v>
      </c>
      <c r="S85" s="1">
        <f t="shared" si="5"/>
        <v>15</v>
      </c>
      <c r="T85" s="1" t="s">
        <v>43</v>
      </c>
      <c r="U85" s="1" t="s">
        <v>33</v>
      </c>
    </row>
    <row r="86" spans="1:21" x14ac:dyDescent="0.25">
      <c r="A86" s="2">
        <v>44278</v>
      </c>
      <c r="B86" s="1" t="s">
        <v>24</v>
      </c>
      <c r="C86" t="s">
        <v>113</v>
      </c>
      <c r="D86" t="s">
        <v>114</v>
      </c>
      <c r="E86" t="s">
        <v>90</v>
      </c>
      <c r="F86" s="29" t="s">
        <v>26</v>
      </c>
      <c r="G86" s="1" t="s">
        <v>29</v>
      </c>
      <c r="H86" s="1">
        <f t="shared" ca="1" si="3"/>
        <v>231</v>
      </c>
      <c r="I86" s="1" t="s">
        <v>36</v>
      </c>
      <c r="J86" t="s">
        <v>35</v>
      </c>
      <c r="K86" s="3" t="s">
        <v>115</v>
      </c>
      <c r="L86" s="1" t="s">
        <v>30</v>
      </c>
      <c r="M86" s="2" t="s">
        <v>36</v>
      </c>
      <c r="N86" s="1" t="str">
        <f t="shared" si="4"/>
        <v>Open</v>
      </c>
      <c r="O86" s="2" t="s">
        <v>36</v>
      </c>
      <c r="P86" s="2" t="s">
        <v>36</v>
      </c>
      <c r="Q86" s="2">
        <v>44316</v>
      </c>
      <c r="R86" s="2">
        <v>44316</v>
      </c>
      <c r="S86" s="1">
        <f t="shared" si="5"/>
        <v>0</v>
      </c>
      <c r="T86" s="1" t="s">
        <v>43</v>
      </c>
      <c r="U86" s="1" t="s">
        <v>34</v>
      </c>
    </row>
    <row r="87" spans="1:21" x14ac:dyDescent="0.25">
      <c r="A87" s="2">
        <v>44339</v>
      </c>
      <c r="B87" s="1" t="s">
        <v>22</v>
      </c>
      <c r="C87" t="s">
        <v>113</v>
      </c>
      <c r="D87" t="s">
        <v>114</v>
      </c>
      <c r="E87" t="s">
        <v>87</v>
      </c>
      <c r="F87" s="29" t="s">
        <v>27</v>
      </c>
      <c r="G87" s="1" t="s">
        <v>42</v>
      </c>
      <c r="H87" s="1">
        <f t="shared" ca="1" si="3"/>
        <v>170</v>
      </c>
      <c r="I87" s="1" t="s">
        <v>36</v>
      </c>
      <c r="J87" t="s">
        <v>35</v>
      </c>
      <c r="K87" s="3" t="s">
        <v>115</v>
      </c>
      <c r="L87" s="1" t="s">
        <v>30</v>
      </c>
      <c r="M87" s="2" t="s">
        <v>36</v>
      </c>
      <c r="N87" s="1" t="str">
        <f t="shared" si="4"/>
        <v>Open</v>
      </c>
      <c r="O87" s="2" t="s">
        <v>36</v>
      </c>
      <c r="P87" s="2" t="s">
        <v>36</v>
      </c>
      <c r="Q87" s="2">
        <v>44378</v>
      </c>
      <c r="R87" s="2">
        <v>44378</v>
      </c>
      <c r="S87" s="1">
        <f t="shared" si="5"/>
        <v>0</v>
      </c>
      <c r="T87" s="1" t="s">
        <v>38</v>
      </c>
      <c r="U87" s="1" t="s">
        <v>32</v>
      </c>
    </row>
    <row r="88" spans="1:21" x14ac:dyDescent="0.25">
      <c r="A88" s="2">
        <v>44558</v>
      </c>
      <c r="B88" s="1" t="s">
        <v>22</v>
      </c>
      <c r="C88" t="s">
        <v>113</v>
      </c>
      <c r="D88" t="s">
        <v>114</v>
      </c>
      <c r="E88" t="s">
        <v>90</v>
      </c>
      <c r="F88" s="29" t="s">
        <v>27</v>
      </c>
      <c r="G88" s="1" t="s">
        <v>42</v>
      </c>
      <c r="H88" s="1">
        <f t="shared" ca="1" si="3"/>
        <v>48</v>
      </c>
      <c r="I88" s="1" t="s">
        <v>36</v>
      </c>
      <c r="J88" t="s">
        <v>35</v>
      </c>
      <c r="K88" s="3" t="s">
        <v>115</v>
      </c>
      <c r="L88" s="1" t="s">
        <v>31</v>
      </c>
      <c r="M88" s="2">
        <v>44606</v>
      </c>
      <c r="N88" s="1" t="str">
        <f t="shared" si="4"/>
        <v>Closed</v>
      </c>
      <c r="O88" s="2" t="s">
        <v>36</v>
      </c>
      <c r="P88" s="2" t="s">
        <v>36</v>
      </c>
      <c r="Q88" s="2">
        <v>44613</v>
      </c>
      <c r="R88" s="2">
        <v>44613</v>
      </c>
      <c r="S88" s="1">
        <f t="shared" si="5"/>
        <v>0</v>
      </c>
      <c r="T88" s="1" t="s">
        <v>38</v>
      </c>
      <c r="U88" s="1" t="s">
        <v>32</v>
      </c>
    </row>
    <row r="89" spans="1:21" x14ac:dyDescent="0.25">
      <c r="A89" s="2">
        <v>44290</v>
      </c>
      <c r="B89" s="1" t="s">
        <v>24</v>
      </c>
      <c r="C89" t="s">
        <v>113</v>
      </c>
      <c r="D89" t="s">
        <v>114</v>
      </c>
      <c r="E89" t="s">
        <v>90</v>
      </c>
      <c r="F89" s="29" t="s">
        <v>26</v>
      </c>
      <c r="G89" s="1" t="s">
        <v>29</v>
      </c>
      <c r="H89" s="1">
        <f t="shared" ca="1" si="3"/>
        <v>65</v>
      </c>
      <c r="I89" s="1" t="s">
        <v>36</v>
      </c>
      <c r="J89" t="s">
        <v>35</v>
      </c>
      <c r="K89" s="3" t="s">
        <v>115</v>
      </c>
      <c r="L89" s="1" t="s">
        <v>31</v>
      </c>
      <c r="M89" s="2">
        <v>44355</v>
      </c>
      <c r="N89" s="1" t="str">
        <f t="shared" si="4"/>
        <v>Closed</v>
      </c>
      <c r="O89" s="2" t="s">
        <v>36</v>
      </c>
      <c r="P89" s="2" t="s">
        <v>36</v>
      </c>
      <c r="Q89" s="2">
        <v>44361</v>
      </c>
      <c r="R89" s="2">
        <v>44361</v>
      </c>
      <c r="S89" s="1">
        <f t="shared" si="5"/>
        <v>0</v>
      </c>
      <c r="T89" s="1" t="s">
        <v>38</v>
      </c>
      <c r="U89" s="1" t="s">
        <v>34</v>
      </c>
    </row>
    <row r="90" spans="1:21" x14ac:dyDescent="0.25">
      <c r="A90" s="2">
        <v>44273</v>
      </c>
      <c r="B90" s="1" t="s">
        <v>22</v>
      </c>
      <c r="C90" t="s">
        <v>113</v>
      </c>
      <c r="D90" t="s">
        <v>114</v>
      </c>
      <c r="E90" t="s">
        <v>88</v>
      </c>
      <c r="F90" s="29" t="s">
        <v>27</v>
      </c>
      <c r="G90" s="1" t="s">
        <v>42</v>
      </c>
      <c r="H90" s="1">
        <f t="shared" ca="1" si="3"/>
        <v>28</v>
      </c>
      <c r="I90" s="1" t="s">
        <v>36</v>
      </c>
      <c r="J90" t="s">
        <v>35</v>
      </c>
      <c r="K90" s="3" t="s">
        <v>115</v>
      </c>
      <c r="L90" s="1" t="s">
        <v>30</v>
      </c>
      <c r="M90" s="2">
        <v>44301</v>
      </c>
      <c r="N90" s="1" t="str">
        <f t="shared" si="4"/>
        <v>Closed</v>
      </c>
      <c r="O90" s="2" t="s">
        <v>36</v>
      </c>
      <c r="P90" s="2" t="s">
        <v>36</v>
      </c>
      <c r="Q90" s="2">
        <v>44315</v>
      </c>
      <c r="R90" s="2">
        <v>44315</v>
      </c>
      <c r="S90" s="1">
        <f t="shared" si="5"/>
        <v>0</v>
      </c>
      <c r="T90" s="1" t="s">
        <v>38</v>
      </c>
      <c r="U90" s="1" t="s">
        <v>32</v>
      </c>
    </row>
    <row r="91" spans="1:21" x14ac:dyDescent="0.25">
      <c r="A91" s="2">
        <v>44289</v>
      </c>
      <c r="B91" s="1" t="s">
        <v>23</v>
      </c>
      <c r="C91" t="s">
        <v>113</v>
      </c>
      <c r="D91" t="s">
        <v>114</v>
      </c>
      <c r="E91" t="s">
        <v>88</v>
      </c>
      <c r="F91" s="29" t="s">
        <v>25</v>
      </c>
      <c r="G91" s="1" t="s">
        <v>28</v>
      </c>
      <c r="H91" s="1">
        <f t="shared" ca="1" si="3"/>
        <v>45</v>
      </c>
      <c r="I91" s="1" t="s">
        <v>36</v>
      </c>
      <c r="J91" t="s">
        <v>35</v>
      </c>
      <c r="K91" s="3" t="s">
        <v>115</v>
      </c>
      <c r="L91" s="1" t="s">
        <v>31</v>
      </c>
      <c r="M91" s="2">
        <v>44334</v>
      </c>
      <c r="N91" s="1" t="str">
        <f t="shared" si="4"/>
        <v>Closed</v>
      </c>
      <c r="O91" s="2" t="s">
        <v>36</v>
      </c>
      <c r="P91" s="2" t="s">
        <v>36</v>
      </c>
      <c r="Q91" s="2">
        <v>44346</v>
      </c>
      <c r="R91" s="2">
        <v>44346</v>
      </c>
      <c r="S91" s="1">
        <f t="shared" si="5"/>
        <v>0</v>
      </c>
      <c r="T91" s="1" t="s">
        <v>43</v>
      </c>
      <c r="U91" s="1" t="s">
        <v>33</v>
      </c>
    </row>
    <row r="92" spans="1:21" x14ac:dyDescent="0.25">
      <c r="A92" s="2">
        <v>44387</v>
      </c>
      <c r="B92" s="1" t="s">
        <v>22</v>
      </c>
      <c r="C92" t="s">
        <v>113</v>
      </c>
      <c r="D92" t="s">
        <v>114</v>
      </c>
      <c r="E92" t="s">
        <v>87</v>
      </c>
      <c r="F92" s="29" t="s">
        <v>27</v>
      </c>
      <c r="G92" s="1" t="s">
        <v>42</v>
      </c>
      <c r="H92" s="1">
        <f t="shared" ca="1" si="3"/>
        <v>24</v>
      </c>
      <c r="I92" s="1" t="s">
        <v>36</v>
      </c>
      <c r="J92" t="s">
        <v>35</v>
      </c>
      <c r="K92" s="3" t="s">
        <v>115</v>
      </c>
      <c r="L92" s="1" t="s">
        <v>31</v>
      </c>
      <c r="M92" s="2">
        <v>44411</v>
      </c>
      <c r="N92" s="1" t="str">
        <f t="shared" si="4"/>
        <v>Closed</v>
      </c>
      <c r="O92" s="2" t="s">
        <v>36</v>
      </c>
      <c r="P92" s="2" t="s">
        <v>36</v>
      </c>
      <c r="Q92" s="2">
        <v>44418</v>
      </c>
      <c r="R92" s="2">
        <v>44418</v>
      </c>
      <c r="S92" s="1">
        <f t="shared" si="5"/>
        <v>0</v>
      </c>
      <c r="T92" s="1" t="s">
        <v>38</v>
      </c>
      <c r="U92" s="1" t="s">
        <v>32</v>
      </c>
    </row>
    <row r="93" spans="1:21" x14ac:dyDescent="0.25">
      <c r="A93" s="2">
        <v>44373</v>
      </c>
      <c r="B93" s="1" t="s">
        <v>23</v>
      </c>
      <c r="C93" t="s">
        <v>113</v>
      </c>
      <c r="D93" t="s">
        <v>114</v>
      </c>
      <c r="E93" t="s">
        <v>88</v>
      </c>
      <c r="F93" s="29" t="s">
        <v>25</v>
      </c>
      <c r="G93" s="1" t="s">
        <v>28</v>
      </c>
      <c r="H93" s="1">
        <f t="shared" ca="1" si="3"/>
        <v>21</v>
      </c>
      <c r="I93" s="1" t="s">
        <v>36</v>
      </c>
      <c r="J93" t="s">
        <v>35</v>
      </c>
      <c r="K93" s="3" t="s">
        <v>115</v>
      </c>
      <c r="L93" s="1" t="s">
        <v>30</v>
      </c>
      <c r="M93" s="2">
        <v>44394</v>
      </c>
      <c r="N93" s="1" t="str">
        <f t="shared" si="4"/>
        <v>Closed</v>
      </c>
      <c r="O93" s="2" t="s">
        <v>36</v>
      </c>
      <c r="P93" s="2" t="s">
        <v>36</v>
      </c>
      <c r="Q93" s="2">
        <v>44402</v>
      </c>
      <c r="R93" s="2">
        <v>44402</v>
      </c>
      <c r="S93" s="1">
        <f t="shared" si="5"/>
        <v>0</v>
      </c>
      <c r="T93" s="1" t="s">
        <v>43</v>
      </c>
      <c r="U93" s="1" t="s">
        <v>33</v>
      </c>
    </row>
    <row r="94" spans="1:21" x14ac:dyDescent="0.25">
      <c r="A94" s="2">
        <v>44357</v>
      </c>
      <c r="B94" s="1" t="s">
        <v>22</v>
      </c>
      <c r="C94" t="s">
        <v>113</v>
      </c>
      <c r="D94" t="s">
        <v>114</v>
      </c>
      <c r="E94" t="s">
        <v>88</v>
      </c>
      <c r="F94" s="29" t="s">
        <v>27</v>
      </c>
      <c r="G94" s="1" t="s">
        <v>42</v>
      </c>
      <c r="H94" s="1">
        <f t="shared" ca="1" si="3"/>
        <v>46</v>
      </c>
      <c r="I94" s="1" t="s">
        <v>36</v>
      </c>
      <c r="J94" t="s">
        <v>35</v>
      </c>
      <c r="K94" s="3" t="s">
        <v>115</v>
      </c>
      <c r="L94" s="1" t="s">
        <v>30</v>
      </c>
      <c r="M94" s="2">
        <v>44403</v>
      </c>
      <c r="N94" s="1" t="str">
        <f t="shared" si="4"/>
        <v>Closed</v>
      </c>
      <c r="O94" s="2" t="s">
        <v>36</v>
      </c>
      <c r="P94" s="2" t="s">
        <v>36</v>
      </c>
      <c r="Q94" s="2">
        <v>44406</v>
      </c>
      <c r="R94" s="2">
        <v>44406</v>
      </c>
      <c r="S94" s="1">
        <f t="shared" si="5"/>
        <v>0</v>
      </c>
      <c r="T94" s="1" t="s">
        <v>38</v>
      </c>
      <c r="U94" s="1" t="s">
        <v>32</v>
      </c>
    </row>
    <row r="95" spans="1:21" x14ac:dyDescent="0.25">
      <c r="A95" s="2">
        <v>44435</v>
      </c>
      <c r="B95" s="1" t="s">
        <v>22</v>
      </c>
      <c r="C95" t="s">
        <v>113</v>
      </c>
      <c r="D95" t="s">
        <v>114</v>
      </c>
      <c r="E95" t="s">
        <v>87</v>
      </c>
      <c r="F95" s="29" t="s">
        <v>27</v>
      </c>
      <c r="G95" s="1" t="s">
        <v>42</v>
      </c>
      <c r="H95" s="1">
        <f t="shared" ca="1" si="3"/>
        <v>75</v>
      </c>
      <c r="I95" s="1" t="s">
        <v>36</v>
      </c>
      <c r="J95" t="s">
        <v>35</v>
      </c>
      <c r="K95" s="3" t="s">
        <v>115</v>
      </c>
      <c r="L95" s="1" t="s">
        <v>31</v>
      </c>
      <c r="M95" s="2">
        <v>44510</v>
      </c>
      <c r="N95" s="1" t="str">
        <f t="shared" si="4"/>
        <v>Closed</v>
      </c>
      <c r="O95" s="2" t="s">
        <v>36</v>
      </c>
      <c r="P95" s="2" t="s">
        <v>36</v>
      </c>
      <c r="Q95" s="2">
        <v>44523</v>
      </c>
      <c r="R95" s="2">
        <v>44523</v>
      </c>
      <c r="S95" s="1">
        <f t="shared" si="5"/>
        <v>0</v>
      </c>
      <c r="T95" s="1" t="s">
        <v>38</v>
      </c>
      <c r="U95" s="1" t="s">
        <v>32</v>
      </c>
    </row>
    <row r="96" spans="1:21" x14ac:dyDescent="0.25">
      <c r="A96" s="2">
        <v>44355</v>
      </c>
      <c r="B96" s="1" t="s">
        <v>23</v>
      </c>
      <c r="C96" t="s">
        <v>113</v>
      </c>
      <c r="D96" t="s">
        <v>114</v>
      </c>
      <c r="E96" t="s">
        <v>87</v>
      </c>
      <c r="F96" s="29" t="s">
        <v>25</v>
      </c>
      <c r="G96" s="1" t="s">
        <v>28</v>
      </c>
      <c r="H96" s="1">
        <f t="shared" ca="1" si="3"/>
        <v>69</v>
      </c>
      <c r="I96" s="1" t="s">
        <v>36</v>
      </c>
      <c r="J96" t="s">
        <v>35</v>
      </c>
      <c r="K96" s="3" t="s">
        <v>115</v>
      </c>
      <c r="L96" s="1" t="s">
        <v>31</v>
      </c>
      <c r="M96" s="2">
        <v>44424</v>
      </c>
      <c r="N96" s="1" t="str">
        <f t="shared" si="4"/>
        <v>Closed</v>
      </c>
      <c r="O96" s="2" t="s">
        <v>36</v>
      </c>
      <c r="P96" s="2" t="s">
        <v>36</v>
      </c>
      <c r="Q96" s="2">
        <v>44429</v>
      </c>
      <c r="R96" s="2">
        <v>44429</v>
      </c>
      <c r="S96" s="1">
        <f t="shared" si="5"/>
        <v>0</v>
      </c>
      <c r="T96" s="1" t="s">
        <v>38</v>
      </c>
      <c r="U96" s="1" t="s">
        <v>33</v>
      </c>
    </row>
    <row r="97" spans="1:21" x14ac:dyDescent="0.25">
      <c r="A97" s="2">
        <v>44520</v>
      </c>
      <c r="B97" s="1" t="s">
        <v>23</v>
      </c>
      <c r="C97" t="s">
        <v>113</v>
      </c>
      <c r="D97" t="s">
        <v>114</v>
      </c>
      <c r="E97" t="s">
        <v>89</v>
      </c>
      <c r="F97" s="29" t="s">
        <v>25</v>
      </c>
      <c r="G97" s="1" t="s">
        <v>28</v>
      </c>
      <c r="H97" s="1">
        <f t="shared" ca="1" si="3"/>
        <v>23</v>
      </c>
      <c r="I97" s="1" t="s">
        <v>36</v>
      </c>
      <c r="J97" t="s">
        <v>35</v>
      </c>
      <c r="K97" s="3" t="s">
        <v>115</v>
      </c>
      <c r="L97" s="1" t="s">
        <v>30</v>
      </c>
      <c r="M97" s="2">
        <v>44543</v>
      </c>
      <c r="N97" s="1" t="str">
        <f t="shared" si="4"/>
        <v>Closed</v>
      </c>
      <c r="O97" s="2" t="s">
        <v>36</v>
      </c>
      <c r="P97" s="2" t="s">
        <v>36</v>
      </c>
      <c r="Q97" s="2">
        <v>44538</v>
      </c>
      <c r="R97" s="2">
        <v>44553</v>
      </c>
      <c r="S97" s="1">
        <f t="shared" si="5"/>
        <v>15</v>
      </c>
      <c r="T97" s="1" t="s">
        <v>43</v>
      </c>
      <c r="U97" s="1" t="s">
        <v>33</v>
      </c>
    </row>
    <row r="98" spans="1:21" x14ac:dyDescent="0.25">
      <c r="A98" s="2">
        <v>44343</v>
      </c>
      <c r="B98" s="1" t="s">
        <v>23</v>
      </c>
      <c r="C98" t="s">
        <v>113</v>
      </c>
      <c r="D98" t="s">
        <v>114</v>
      </c>
      <c r="E98" t="s">
        <v>87</v>
      </c>
      <c r="F98" s="29" t="s">
        <v>25</v>
      </c>
      <c r="G98" s="1" t="s">
        <v>28</v>
      </c>
      <c r="H98" s="1">
        <f t="shared" ca="1" si="3"/>
        <v>38</v>
      </c>
      <c r="I98" s="1" t="s">
        <v>36</v>
      </c>
      <c r="J98" t="s">
        <v>35</v>
      </c>
      <c r="K98" s="3" t="s">
        <v>115</v>
      </c>
      <c r="L98" s="1" t="s">
        <v>31</v>
      </c>
      <c r="M98" s="2">
        <v>44381</v>
      </c>
      <c r="N98" s="1" t="str">
        <f t="shared" si="4"/>
        <v>Closed</v>
      </c>
      <c r="O98" s="2" t="s">
        <v>36</v>
      </c>
      <c r="P98" s="2" t="s">
        <v>36</v>
      </c>
      <c r="Q98" s="2">
        <v>44390</v>
      </c>
      <c r="R98" s="2">
        <v>44390</v>
      </c>
      <c r="S98" s="1">
        <f t="shared" si="5"/>
        <v>0</v>
      </c>
      <c r="T98" s="1" t="s">
        <v>43</v>
      </c>
      <c r="U98" s="1" t="s">
        <v>33</v>
      </c>
    </row>
    <row r="99" spans="1:21" x14ac:dyDescent="0.25">
      <c r="A99" s="2">
        <v>44237</v>
      </c>
      <c r="B99" s="1" t="s">
        <v>22</v>
      </c>
      <c r="C99" t="s">
        <v>113</v>
      </c>
      <c r="D99" t="s">
        <v>114</v>
      </c>
      <c r="E99" t="s">
        <v>88</v>
      </c>
      <c r="F99" s="29" t="s">
        <v>27</v>
      </c>
      <c r="G99" s="1" t="s">
        <v>42</v>
      </c>
      <c r="H99" s="1">
        <f t="shared" ca="1" si="3"/>
        <v>79</v>
      </c>
      <c r="I99" s="1" t="s">
        <v>36</v>
      </c>
      <c r="J99" t="s">
        <v>35</v>
      </c>
      <c r="K99" s="3" t="s">
        <v>115</v>
      </c>
      <c r="L99" s="1" t="s">
        <v>31</v>
      </c>
      <c r="M99" s="2">
        <v>44316</v>
      </c>
      <c r="N99" s="1" t="str">
        <f t="shared" si="4"/>
        <v>Closed</v>
      </c>
      <c r="O99" s="2" t="s">
        <v>36</v>
      </c>
      <c r="P99" s="2" t="s">
        <v>36</v>
      </c>
      <c r="Q99" s="2">
        <v>44308</v>
      </c>
      <c r="R99" s="2">
        <v>44325</v>
      </c>
      <c r="S99" s="1">
        <f t="shared" si="5"/>
        <v>17</v>
      </c>
      <c r="T99" s="1" t="s">
        <v>38</v>
      </c>
      <c r="U99" s="1" t="s">
        <v>32</v>
      </c>
    </row>
    <row r="100" spans="1:21" x14ac:dyDescent="0.25">
      <c r="A100" s="2">
        <v>44373</v>
      </c>
      <c r="B100" s="1" t="s">
        <v>23</v>
      </c>
      <c r="C100" t="s">
        <v>113</v>
      </c>
      <c r="D100" t="s">
        <v>114</v>
      </c>
      <c r="E100" t="s">
        <v>88</v>
      </c>
      <c r="F100" s="29" t="s">
        <v>25</v>
      </c>
      <c r="G100" s="1" t="s">
        <v>28</v>
      </c>
      <c r="H100" s="1">
        <f t="shared" ca="1" si="3"/>
        <v>60</v>
      </c>
      <c r="I100" s="1" t="s">
        <v>36</v>
      </c>
      <c r="J100" t="s">
        <v>35</v>
      </c>
      <c r="K100" s="3" t="s">
        <v>115</v>
      </c>
      <c r="L100" s="1" t="s">
        <v>31</v>
      </c>
      <c r="M100" s="2">
        <v>44433</v>
      </c>
      <c r="N100" s="1" t="str">
        <f t="shared" si="4"/>
        <v>Closed</v>
      </c>
      <c r="O100" s="2" t="s">
        <v>36</v>
      </c>
      <c r="P100" s="2" t="s">
        <v>36</v>
      </c>
      <c r="Q100" s="2">
        <v>44424</v>
      </c>
      <c r="R100" s="2">
        <v>44442</v>
      </c>
      <c r="S100" s="1">
        <f t="shared" si="5"/>
        <v>18</v>
      </c>
      <c r="T100" s="1" t="s">
        <v>43</v>
      </c>
      <c r="U100" s="1" t="s">
        <v>33</v>
      </c>
    </row>
    <row r="101" spans="1:21" x14ac:dyDescent="0.25">
      <c r="A101" s="2">
        <v>44510</v>
      </c>
      <c r="B101" s="1" t="s">
        <v>22</v>
      </c>
      <c r="C101" t="s">
        <v>113</v>
      </c>
      <c r="D101" t="s">
        <v>114</v>
      </c>
      <c r="E101" t="s">
        <v>90</v>
      </c>
      <c r="F101" s="29" t="s">
        <v>27</v>
      </c>
      <c r="G101" s="1" t="s">
        <v>42</v>
      </c>
      <c r="H101" s="1">
        <f t="shared" ca="1" si="3"/>
        <v>-1</v>
      </c>
      <c r="I101" s="1" t="s">
        <v>36</v>
      </c>
      <c r="J101" t="s">
        <v>35</v>
      </c>
      <c r="K101" s="3" t="s">
        <v>115</v>
      </c>
      <c r="L101" s="1" t="s">
        <v>30</v>
      </c>
      <c r="M101" s="2" t="s">
        <v>36</v>
      </c>
      <c r="N101" s="1" t="str">
        <f t="shared" si="4"/>
        <v>Open</v>
      </c>
      <c r="O101" s="2" t="s">
        <v>36</v>
      </c>
      <c r="P101" s="2" t="s">
        <v>36</v>
      </c>
      <c r="Q101" s="2">
        <v>44544</v>
      </c>
      <c r="R101" s="2">
        <v>44544</v>
      </c>
      <c r="S101" s="1">
        <f t="shared" si="5"/>
        <v>0</v>
      </c>
      <c r="T101" s="1" t="s">
        <v>43</v>
      </c>
      <c r="U101" s="1" t="s">
        <v>32</v>
      </c>
    </row>
    <row r="102" spans="1:21" x14ac:dyDescent="0.25">
      <c r="A102" s="2">
        <v>44312</v>
      </c>
      <c r="B102" s="1" t="s">
        <v>22</v>
      </c>
      <c r="C102" t="s">
        <v>113</v>
      </c>
      <c r="D102" t="s">
        <v>114</v>
      </c>
      <c r="E102" t="s">
        <v>89</v>
      </c>
      <c r="F102" s="29" t="s">
        <v>27</v>
      </c>
      <c r="G102" s="1" t="s">
        <v>42</v>
      </c>
      <c r="H102" s="1">
        <f t="shared" ca="1" si="3"/>
        <v>39</v>
      </c>
      <c r="I102" s="1" t="s">
        <v>36</v>
      </c>
      <c r="J102" t="s">
        <v>35</v>
      </c>
      <c r="K102" s="3" t="s">
        <v>115</v>
      </c>
      <c r="L102" s="1" t="s">
        <v>30</v>
      </c>
      <c r="M102" s="2">
        <v>44351</v>
      </c>
      <c r="N102" s="1" t="str">
        <f t="shared" si="4"/>
        <v>Closed</v>
      </c>
      <c r="O102" s="2" t="s">
        <v>36</v>
      </c>
      <c r="P102" s="2" t="s">
        <v>36</v>
      </c>
      <c r="Q102" s="2">
        <v>44362</v>
      </c>
      <c r="R102" s="2">
        <v>44362</v>
      </c>
      <c r="S102" s="1">
        <f t="shared" si="5"/>
        <v>0</v>
      </c>
      <c r="T102" s="1" t="s">
        <v>43</v>
      </c>
      <c r="U102" s="1" t="s">
        <v>32</v>
      </c>
    </row>
    <row r="103" spans="1:21" x14ac:dyDescent="0.25">
      <c r="A103" s="2">
        <v>44520</v>
      </c>
      <c r="B103" s="1" t="s">
        <v>23</v>
      </c>
      <c r="C103" t="s">
        <v>113</v>
      </c>
      <c r="D103" t="s">
        <v>114</v>
      </c>
      <c r="E103" t="s">
        <v>89</v>
      </c>
      <c r="F103" s="29" t="s">
        <v>25</v>
      </c>
      <c r="G103" s="1" t="s">
        <v>28</v>
      </c>
      <c r="H103" s="1">
        <f t="shared" ca="1" si="3"/>
        <v>69</v>
      </c>
      <c r="I103" s="1" t="s">
        <v>36</v>
      </c>
      <c r="J103" t="s">
        <v>35</v>
      </c>
      <c r="K103" s="3" t="s">
        <v>115</v>
      </c>
      <c r="L103" s="1" t="s">
        <v>31</v>
      </c>
      <c r="M103" s="2">
        <v>44589</v>
      </c>
      <c r="N103" s="1" t="str">
        <f t="shared" si="4"/>
        <v>Closed</v>
      </c>
      <c r="O103" s="2" t="s">
        <v>36</v>
      </c>
      <c r="P103" s="2" t="s">
        <v>36</v>
      </c>
      <c r="Q103" s="2">
        <v>44574</v>
      </c>
      <c r="R103" s="2">
        <v>44600</v>
      </c>
      <c r="S103" s="1">
        <f t="shared" si="5"/>
        <v>26</v>
      </c>
      <c r="T103" s="1" t="s">
        <v>43</v>
      </c>
      <c r="U103" s="1" t="s">
        <v>33</v>
      </c>
    </row>
    <row r="104" spans="1:21" x14ac:dyDescent="0.25">
      <c r="A104" s="2">
        <v>44311</v>
      </c>
      <c r="B104" s="1" t="s">
        <v>24</v>
      </c>
      <c r="C104" t="s">
        <v>113</v>
      </c>
      <c r="D104" t="s">
        <v>114</v>
      </c>
      <c r="E104" t="s">
        <v>87</v>
      </c>
      <c r="F104" s="29" t="s">
        <v>26</v>
      </c>
      <c r="G104" s="1" t="s">
        <v>29</v>
      </c>
      <c r="H104" s="1">
        <f t="shared" ca="1" si="3"/>
        <v>53</v>
      </c>
      <c r="I104" s="1" t="s">
        <v>36</v>
      </c>
      <c r="J104" t="s">
        <v>35</v>
      </c>
      <c r="K104" s="3" t="s">
        <v>115</v>
      </c>
      <c r="L104" s="1" t="s">
        <v>30</v>
      </c>
      <c r="M104" s="2">
        <v>44364</v>
      </c>
      <c r="N104" s="1" t="str">
        <f t="shared" si="4"/>
        <v>Closed</v>
      </c>
      <c r="O104" s="2" t="s">
        <v>36</v>
      </c>
      <c r="P104" s="2" t="s">
        <v>36</v>
      </c>
      <c r="Q104" s="2">
        <v>44372</v>
      </c>
      <c r="R104" s="2">
        <v>44372</v>
      </c>
      <c r="S104" s="1">
        <f t="shared" si="5"/>
        <v>0</v>
      </c>
      <c r="T104" s="1" t="s">
        <v>43</v>
      </c>
      <c r="U104" s="1" t="s">
        <v>34</v>
      </c>
    </row>
    <row r="105" spans="1:21" x14ac:dyDescent="0.25">
      <c r="A105" s="2">
        <v>44392</v>
      </c>
      <c r="B105" s="1" t="s">
        <v>24</v>
      </c>
      <c r="C105" t="s">
        <v>113</v>
      </c>
      <c r="D105" t="s">
        <v>114</v>
      </c>
      <c r="E105" t="s">
        <v>89</v>
      </c>
      <c r="F105" s="29" t="s">
        <v>26</v>
      </c>
      <c r="G105" s="1" t="s">
        <v>29</v>
      </c>
      <c r="H105" s="1">
        <f t="shared" ca="1" si="3"/>
        <v>21</v>
      </c>
      <c r="I105" s="1" t="s">
        <v>36</v>
      </c>
      <c r="J105" t="s">
        <v>35</v>
      </c>
      <c r="K105" s="3" t="s">
        <v>115</v>
      </c>
      <c r="L105" s="1" t="s">
        <v>30</v>
      </c>
      <c r="M105" s="2">
        <v>44413</v>
      </c>
      <c r="N105" s="1" t="str">
        <f t="shared" si="4"/>
        <v>Closed</v>
      </c>
      <c r="O105" s="2" t="s">
        <v>36</v>
      </c>
      <c r="P105" s="2" t="s">
        <v>36</v>
      </c>
      <c r="Q105" s="2">
        <v>44425</v>
      </c>
      <c r="R105" s="2">
        <v>44425</v>
      </c>
      <c r="S105" s="1">
        <f t="shared" si="5"/>
        <v>0</v>
      </c>
      <c r="T105" s="1" t="s">
        <v>43</v>
      </c>
      <c r="U105" s="1" t="s">
        <v>34</v>
      </c>
    </row>
    <row r="106" spans="1:21" x14ac:dyDescent="0.25">
      <c r="A106" s="2">
        <v>44505</v>
      </c>
      <c r="B106" s="1" t="s">
        <v>23</v>
      </c>
      <c r="C106" t="s">
        <v>113</v>
      </c>
      <c r="D106" t="s">
        <v>114</v>
      </c>
      <c r="E106" t="s">
        <v>88</v>
      </c>
      <c r="F106" s="29" t="s">
        <v>25</v>
      </c>
      <c r="G106" s="1" t="s">
        <v>28</v>
      </c>
      <c r="H106" s="1">
        <f t="shared" ca="1" si="3"/>
        <v>72</v>
      </c>
      <c r="I106" s="1" t="s">
        <v>36</v>
      </c>
      <c r="J106" t="s">
        <v>35</v>
      </c>
      <c r="K106" s="3" t="s">
        <v>115</v>
      </c>
      <c r="L106" s="1" t="s">
        <v>31</v>
      </c>
      <c r="M106" s="2">
        <v>44577</v>
      </c>
      <c r="N106" s="1" t="str">
        <f t="shared" si="4"/>
        <v>Closed</v>
      </c>
      <c r="O106" s="2" t="s">
        <v>36</v>
      </c>
      <c r="P106" s="2" t="s">
        <v>36</v>
      </c>
      <c r="Q106" s="2">
        <v>44579</v>
      </c>
      <c r="R106" s="2">
        <v>44579</v>
      </c>
      <c r="S106" s="1">
        <f t="shared" si="5"/>
        <v>0</v>
      </c>
      <c r="T106" s="1" t="s">
        <v>43</v>
      </c>
      <c r="U106" s="1" t="s">
        <v>33</v>
      </c>
    </row>
    <row r="107" spans="1:21" x14ac:dyDescent="0.25">
      <c r="A107" s="2">
        <v>44245</v>
      </c>
      <c r="B107" s="1" t="s">
        <v>24</v>
      </c>
      <c r="C107" t="s">
        <v>113</v>
      </c>
      <c r="D107" t="s">
        <v>114</v>
      </c>
      <c r="E107" t="s">
        <v>88</v>
      </c>
      <c r="F107" s="29" t="s">
        <v>26</v>
      </c>
      <c r="G107" s="1" t="s">
        <v>29</v>
      </c>
      <c r="H107" s="1">
        <f t="shared" ca="1" si="3"/>
        <v>25</v>
      </c>
      <c r="I107" s="1" t="s">
        <v>36</v>
      </c>
      <c r="J107" t="s">
        <v>35</v>
      </c>
      <c r="K107" s="3" t="s">
        <v>115</v>
      </c>
      <c r="L107" s="1" t="s">
        <v>30</v>
      </c>
      <c r="M107" s="2">
        <v>44270</v>
      </c>
      <c r="N107" s="1" t="str">
        <f t="shared" si="4"/>
        <v>Closed</v>
      </c>
      <c r="O107" s="2" t="s">
        <v>36</v>
      </c>
      <c r="P107" s="2" t="s">
        <v>36</v>
      </c>
      <c r="Q107" s="2">
        <v>44272</v>
      </c>
      <c r="R107" s="2">
        <v>44272</v>
      </c>
      <c r="S107" s="1">
        <f t="shared" si="5"/>
        <v>0</v>
      </c>
      <c r="T107" s="1" t="s">
        <v>43</v>
      </c>
      <c r="U107" s="1" t="s">
        <v>34</v>
      </c>
    </row>
    <row r="108" spans="1:21" x14ac:dyDescent="0.25">
      <c r="A108" s="2">
        <v>44515</v>
      </c>
      <c r="B108" s="1" t="s">
        <v>24</v>
      </c>
      <c r="C108" t="s">
        <v>113</v>
      </c>
      <c r="D108" t="s">
        <v>114</v>
      </c>
      <c r="E108" t="s">
        <v>87</v>
      </c>
      <c r="F108" s="29" t="s">
        <v>26</v>
      </c>
      <c r="G108" s="1" t="s">
        <v>29</v>
      </c>
      <c r="H108" s="1">
        <f t="shared" ca="1" si="3"/>
        <v>-6</v>
      </c>
      <c r="I108" s="1" t="s">
        <v>36</v>
      </c>
      <c r="J108" t="s">
        <v>35</v>
      </c>
      <c r="K108" s="3" t="s">
        <v>115</v>
      </c>
      <c r="L108" s="1" t="s">
        <v>31</v>
      </c>
      <c r="M108" s="2" t="s">
        <v>36</v>
      </c>
      <c r="N108" s="1" t="str">
        <f t="shared" si="4"/>
        <v>Open</v>
      </c>
      <c r="O108" s="2" t="s">
        <v>36</v>
      </c>
      <c r="P108" s="2" t="s">
        <v>36</v>
      </c>
      <c r="Q108" s="2">
        <v>44544</v>
      </c>
      <c r="R108" s="2">
        <v>44544</v>
      </c>
      <c r="S108" s="1">
        <f t="shared" si="5"/>
        <v>0</v>
      </c>
      <c r="T108" s="1" t="s">
        <v>43</v>
      </c>
      <c r="U108" s="1" t="s">
        <v>34</v>
      </c>
    </row>
    <row r="109" spans="1:21" x14ac:dyDescent="0.25">
      <c r="A109" s="2">
        <v>44444</v>
      </c>
      <c r="B109" s="1" t="s">
        <v>22</v>
      </c>
      <c r="C109" t="s">
        <v>113</v>
      </c>
      <c r="D109" t="s">
        <v>114</v>
      </c>
      <c r="E109" t="s">
        <v>89</v>
      </c>
      <c r="F109" s="29" t="s">
        <v>27</v>
      </c>
      <c r="G109" s="1" t="s">
        <v>42</v>
      </c>
      <c r="H109" s="1">
        <f t="shared" ca="1" si="3"/>
        <v>76</v>
      </c>
      <c r="I109" s="1" t="s">
        <v>36</v>
      </c>
      <c r="J109" t="s">
        <v>35</v>
      </c>
      <c r="K109" s="3" t="s">
        <v>115</v>
      </c>
      <c r="L109" s="1" t="s">
        <v>30</v>
      </c>
      <c r="M109" s="2">
        <v>44520</v>
      </c>
      <c r="N109" s="1" t="str">
        <f t="shared" si="4"/>
        <v>Closed</v>
      </c>
      <c r="O109" s="2" t="s">
        <v>36</v>
      </c>
      <c r="P109" s="2" t="s">
        <v>36</v>
      </c>
      <c r="Q109" s="2">
        <v>44529</v>
      </c>
      <c r="R109" s="2">
        <v>44529</v>
      </c>
      <c r="S109" s="1">
        <f t="shared" si="5"/>
        <v>0</v>
      </c>
      <c r="T109" s="1" t="s">
        <v>43</v>
      </c>
      <c r="U109" s="1" t="s">
        <v>32</v>
      </c>
    </row>
    <row r="110" spans="1:21" x14ac:dyDescent="0.25">
      <c r="A110" s="2">
        <v>44483</v>
      </c>
      <c r="B110" s="1" t="s">
        <v>22</v>
      </c>
      <c r="C110" t="s">
        <v>113</v>
      </c>
      <c r="D110" t="s">
        <v>114</v>
      </c>
      <c r="E110" t="s">
        <v>87</v>
      </c>
      <c r="F110" s="29" t="s">
        <v>27</v>
      </c>
      <c r="G110" s="1" t="s">
        <v>42</v>
      </c>
      <c r="H110" s="1">
        <f t="shared" ca="1" si="3"/>
        <v>54</v>
      </c>
      <c r="I110" s="1" t="s">
        <v>36</v>
      </c>
      <c r="J110" t="s">
        <v>35</v>
      </c>
      <c r="K110" s="3" t="s">
        <v>115</v>
      </c>
      <c r="L110" s="1" t="s">
        <v>31</v>
      </c>
      <c r="M110" s="2">
        <v>44537</v>
      </c>
      <c r="N110" s="1" t="str">
        <f t="shared" si="4"/>
        <v>Closed</v>
      </c>
      <c r="O110" s="2" t="s">
        <v>36</v>
      </c>
      <c r="P110" s="2" t="s">
        <v>36</v>
      </c>
      <c r="Q110" s="2">
        <v>44526</v>
      </c>
      <c r="R110" s="2">
        <v>44544</v>
      </c>
      <c r="S110" s="1">
        <f t="shared" si="5"/>
        <v>18</v>
      </c>
      <c r="T110" s="1" t="s">
        <v>43</v>
      </c>
      <c r="U110" s="1" t="s">
        <v>32</v>
      </c>
    </row>
    <row r="111" spans="1:21" x14ac:dyDescent="0.25">
      <c r="A111" s="2">
        <v>44308</v>
      </c>
      <c r="B111" s="1" t="s">
        <v>24</v>
      </c>
      <c r="C111" t="s">
        <v>113</v>
      </c>
      <c r="D111" t="s">
        <v>114</v>
      </c>
      <c r="E111" t="s">
        <v>89</v>
      </c>
      <c r="F111" s="29" t="s">
        <v>26</v>
      </c>
      <c r="G111" s="1" t="s">
        <v>29</v>
      </c>
      <c r="H111" s="1">
        <f t="shared" ca="1" si="3"/>
        <v>21</v>
      </c>
      <c r="I111" s="1" t="s">
        <v>36</v>
      </c>
      <c r="J111" t="s">
        <v>35</v>
      </c>
      <c r="K111" s="3" t="s">
        <v>115</v>
      </c>
      <c r="L111" s="1" t="s">
        <v>30</v>
      </c>
      <c r="M111" s="2">
        <v>44329</v>
      </c>
      <c r="N111" s="1" t="str">
        <f t="shared" si="4"/>
        <v>Closed</v>
      </c>
      <c r="O111" s="2" t="s">
        <v>36</v>
      </c>
      <c r="P111" s="2" t="s">
        <v>36</v>
      </c>
      <c r="Q111" s="2">
        <v>44327</v>
      </c>
      <c r="R111" s="2">
        <v>44340</v>
      </c>
      <c r="S111" s="1">
        <f t="shared" si="5"/>
        <v>13</v>
      </c>
      <c r="T111" s="1" t="s">
        <v>43</v>
      </c>
      <c r="U111" s="1" t="s">
        <v>34</v>
      </c>
    </row>
    <row r="112" spans="1:21" x14ac:dyDescent="0.25">
      <c r="A112" s="2">
        <v>44444</v>
      </c>
      <c r="B112" s="1" t="s">
        <v>22</v>
      </c>
      <c r="C112" t="s">
        <v>113</v>
      </c>
      <c r="D112" t="s">
        <v>114</v>
      </c>
      <c r="E112" t="s">
        <v>89</v>
      </c>
      <c r="F112" s="29" t="s">
        <v>27</v>
      </c>
      <c r="G112" s="1" t="s">
        <v>42</v>
      </c>
      <c r="H112" s="1">
        <f t="shared" ca="1" si="3"/>
        <v>53</v>
      </c>
      <c r="I112" s="1" t="s">
        <v>36</v>
      </c>
      <c r="J112" t="s">
        <v>35</v>
      </c>
      <c r="K112" s="3" t="s">
        <v>115</v>
      </c>
      <c r="L112" s="1" t="s">
        <v>31</v>
      </c>
      <c r="M112" s="2">
        <v>44497</v>
      </c>
      <c r="N112" s="1" t="str">
        <f t="shared" si="4"/>
        <v>Closed</v>
      </c>
      <c r="O112" s="2" t="s">
        <v>36</v>
      </c>
      <c r="P112" s="2" t="s">
        <v>36</v>
      </c>
      <c r="Q112" s="2">
        <v>44509</v>
      </c>
      <c r="R112" s="2">
        <v>44509</v>
      </c>
      <c r="S112" s="1">
        <f t="shared" si="5"/>
        <v>0</v>
      </c>
      <c r="T112" s="1" t="s">
        <v>38</v>
      </c>
      <c r="U112" s="1" t="s">
        <v>32</v>
      </c>
    </row>
    <row r="113" spans="1:21" x14ac:dyDescent="0.25">
      <c r="A113" s="2">
        <v>44466</v>
      </c>
      <c r="B113" s="1" t="s">
        <v>23</v>
      </c>
      <c r="C113" t="s">
        <v>113</v>
      </c>
      <c r="D113" t="s">
        <v>114</v>
      </c>
      <c r="E113" t="s">
        <v>90</v>
      </c>
      <c r="F113" s="29" t="s">
        <v>25</v>
      </c>
      <c r="G113" s="1" t="s">
        <v>28</v>
      </c>
      <c r="H113" s="1">
        <f t="shared" ca="1" si="3"/>
        <v>43</v>
      </c>
      <c r="I113" s="1" t="s">
        <v>36</v>
      </c>
      <c r="J113" t="s">
        <v>35</v>
      </c>
      <c r="K113" s="3" t="s">
        <v>115</v>
      </c>
      <c r="L113" s="1" t="s">
        <v>31</v>
      </c>
      <c r="M113" s="2" t="s">
        <v>36</v>
      </c>
      <c r="N113" s="1" t="str">
        <f t="shared" si="4"/>
        <v>Open</v>
      </c>
      <c r="O113" s="2" t="s">
        <v>36</v>
      </c>
      <c r="P113" s="2" t="s">
        <v>36</v>
      </c>
      <c r="Q113" s="2">
        <v>44496</v>
      </c>
      <c r="R113" s="2">
        <v>44496</v>
      </c>
      <c r="S113" s="1">
        <f t="shared" si="5"/>
        <v>0</v>
      </c>
      <c r="T113" s="1" t="s">
        <v>38</v>
      </c>
      <c r="U113" s="1" t="s">
        <v>33</v>
      </c>
    </row>
    <row r="114" spans="1:21" x14ac:dyDescent="0.25">
      <c r="A114" s="2">
        <v>44500</v>
      </c>
      <c r="B114" s="1" t="s">
        <v>24</v>
      </c>
      <c r="C114" t="s">
        <v>113</v>
      </c>
      <c r="D114" t="s">
        <v>114</v>
      </c>
      <c r="E114" t="s">
        <v>89</v>
      </c>
      <c r="F114" s="29" t="s">
        <v>26</v>
      </c>
      <c r="G114" s="1" t="s">
        <v>29</v>
      </c>
      <c r="H114" s="1">
        <f t="shared" ca="1" si="3"/>
        <v>63</v>
      </c>
      <c r="I114" s="1" t="s">
        <v>36</v>
      </c>
      <c r="J114" t="s">
        <v>35</v>
      </c>
      <c r="K114" s="3" t="s">
        <v>115</v>
      </c>
      <c r="L114" s="1" t="s">
        <v>30</v>
      </c>
      <c r="M114" s="2">
        <v>44563</v>
      </c>
      <c r="N114" s="1" t="str">
        <f t="shared" si="4"/>
        <v>Closed</v>
      </c>
      <c r="O114" s="2" t="s">
        <v>36</v>
      </c>
      <c r="P114" s="2" t="s">
        <v>36</v>
      </c>
      <c r="Q114" s="2">
        <v>44554</v>
      </c>
      <c r="R114" s="2">
        <v>44571</v>
      </c>
      <c r="S114" s="1">
        <f t="shared" si="5"/>
        <v>17</v>
      </c>
      <c r="T114" s="1" t="s">
        <v>38</v>
      </c>
      <c r="U114" s="1" t="s">
        <v>34</v>
      </c>
    </row>
    <row r="115" spans="1:21" x14ac:dyDescent="0.25">
      <c r="A115" s="2">
        <v>44570</v>
      </c>
      <c r="B115" s="1" t="s">
        <v>23</v>
      </c>
      <c r="C115" t="s">
        <v>113</v>
      </c>
      <c r="D115" t="s">
        <v>114</v>
      </c>
      <c r="E115" t="s">
        <v>90</v>
      </c>
      <c r="F115" s="29" t="s">
        <v>25</v>
      </c>
      <c r="G115" s="1" t="s">
        <v>28</v>
      </c>
      <c r="H115" s="1">
        <f t="shared" ca="1" si="3"/>
        <v>27</v>
      </c>
      <c r="I115" s="1" t="s">
        <v>36</v>
      </c>
      <c r="J115" t="s">
        <v>35</v>
      </c>
      <c r="K115" s="3" t="s">
        <v>115</v>
      </c>
      <c r="L115" s="1" t="s">
        <v>31</v>
      </c>
      <c r="M115" s="2">
        <v>44597</v>
      </c>
      <c r="N115" s="1" t="str">
        <f t="shared" si="4"/>
        <v>Closed</v>
      </c>
      <c r="O115" s="2" t="s">
        <v>36</v>
      </c>
      <c r="P115" s="2" t="s">
        <v>36</v>
      </c>
      <c r="Q115" s="2">
        <v>44847</v>
      </c>
      <c r="R115" s="2">
        <v>44847</v>
      </c>
      <c r="S115" s="1">
        <f t="shared" si="5"/>
        <v>0</v>
      </c>
      <c r="T115" s="1" t="s">
        <v>38</v>
      </c>
      <c r="U115" s="1" t="s">
        <v>33</v>
      </c>
    </row>
    <row r="116" spans="1:21" x14ac:dyDescent="0.25">
      <c r="A116" s="2">
        <v>44602</v>
      </c>
      <c r="B116" s="1" t="s">
        <v>22</v>
      </c>
      <c r="C116" t="s">
        <v>113</v>
      </c>
      <c r="D116" t="s">
        <v>114</v>
      </c>
      <c r="E116" t="s">
        <v>90</v>
      </c>
      <c r="F116" s="29" t="s">
        <v>27</v>
      </c>
      <c r="G116" s="1" t="s">
        <v>42</v>
      </c>
      <c r="H116" s="1">
        <f t="shared" ca="1" si="3"/>
        <v>23</v>
      </c>
      <c r="I116" s="1" t="s">
        <v>36</v>
      </c>
      <c r="J116" t="s">
        <v>35</v>
      </c>
      <c r="K116" s="3" t="s">
        <v>115</v>
      </c>
      <c r="L116" s="1" t="s">
        <v>30</v>
      </c>
      <c r="M116" s="2">
        <v>44625</v>
      </c>
      <c r="N116" s="1" t="str">
        <f t="shared" si="4"/>
        <v>Closed</v>
      </c>
      <c r="O116" s="2" t="s">
        <v>36</v>
      </c>
      <c r="P116" s="2" t="s">
        <v>36</v>
      </c>
      <c r="Q116" s="2">
        <v>44974</v>
      </c>
      <c r="R116" s="2">
        <v>44974</v>
      </c>
      <c r="S116" s="1">
        <f t="shared" si="5"/>
        <v>0</v>
      </c>
      <c r="T116" s="1" t="s">
        <v>38</v>
      </c>
      <c r="U116" s="1" t="s">
        <v>32</v>
      </c>
    </row>
    <row r="117" spans="1:21" x14ac:dyDescent="0.25">
      <c r="A117" s="2">
        <v>44260</v>
      </c>
      <c r="B117" s="1" t="s">
        <v>24</v>
      </c>
      <c r="C117" t="s">
        <v>113</v>
      </c>
      <c r="D117" t="s">
        <v>114</v>
      </c>
      <c r="E117" t="s">
        <v>89</v>
      </c>
      <c r="F117" s="29" t="s">
        <v>26</v>
      </c>
      <c r="G117" s="1" t="s">
        <v>29</v>
      </c>
      <c r="H117" s="1">
        <f t="shared" ca="1" si="3"/>
        <v>35</v>
      </c>
      <c r="I117" s="1" t="s">
        <v>36</v>
      </c>
      <c r="J117" t="s">
        <v>35</v>
      </c>
      <c r="K117" s="3" t="s">
        <v>115</v>
      </c>
      <c r="L117" s="1" t="s">
        <v>30</v>
      </c>
      <c r="M117" s="2">
        <v>44295</v>
      </c>
      <c r="N117" s="1" t="str">
        <f t="shared" si="4"/>
        <v>Closed</v>
      </c>
      <c r="O117" s="2" t="s">
        <v>36</v>
      </c>
      <c r="P117" s="2" t="s">
        <v>36</v>
      </c>
      <c r="Q117" s="2">
        <v>44309</v>
      </c>
      <c r="R117" s="2">
        <v>44309</v>
      </c>
      <c r="S117" s="1">
        <f t="shared" si="5"/>
        <v>0</v>
      </c>
      <c r="T117" s="1" t="s">
        <v>43</v>
      </c>
      <c r="U117" s="1" t="s">
        <v>34</v>
      </c>
    </row>
    <row r="118" spans="1:21" x14ac:dyDescent="0.25">
      <c r="A118" s="2">
        <v>44529</v>
      </c>
      <c r="B118" s="1" t="s">
        <v>23</v>
      </c>
      <c r="C118" t="s">
        <v>113</v>
      </c>
      <c r="D118" t="s">
        <v>114</v>
      </c>
      <c r="E118" t="s">
        <v>88</v>
      </c>
      <c r="F118" s="29" t="s">
        <v>25</v>
      </c>
      <c r="G118" s="1" t="s">
        <v>28</v>
      </c>
      <c r="H118" s="1">
        <f t="shared" ca="1" si="3"/>
        <v>68</v>
      </c>
      <c r="I118" s="1" t="s">
        <v>36</v>
      </c>
      <c r="J118" t="s">
        <v>35</v>
      </c>
      <c r="K118" s="3" t="s">
        <v>115</v>
      </c>
      <c r="L118" s="1" t="s">
        <v>30</v>
      </c>
      <c r="M118" s="2">
        <v>44597</v>
      </c>
      <c r="N118" s="1" t="str">
        <f t="shared" si="4"/>
        <v>Closed</v>
      </c>
      <c r="O118" s="2" t="s">
        <v>36</v>
      </c>
      <c r="P118" s="2" t="s">
        <v>36</v>
      </c>
      <c r="Q118" s="2">
        <v>44595</v>
      </c>
      <c r="R118" s="2">
        <v>44608</v>
      </c>
      <c r="S118" s="1">
        <f t="shared" si="5"/>
        <v>13</v>
      </c>
      <c r="T118" s="1" t="s">
        <v>43</v>
      </c>
      <c r="U118" s="1" t="s">
        <v>33</v>
      </c>
    </row>
    <row r="119" spans="1:21" x14ac:dyDescent="0.25">
      <c r="A119" s="2">
        <v>44497</v>
      </c>
      <c r="B119" s="1" t="s">
        <v>24</v>
      </c>
      <c r="C119" t="s">
        <v>113</v>
      </c>
      <c r="D119" t="s">
        <v>114</v>
      </c>
      <c r="E119" t="s">
        <v>88</v>
      </c>
      <c r="F119" s="29" t="s">
        <v>26</v>
      </c>
      <c r="G119" s="1" t="s">
        <v>29</v>
      </c>
      <c r="H119" s="1">
        <f t="shared" ca="1" si="3"/>
        <v>54</v>
      </c>
      <c r="I119" s="1" t="s">
        <v>36</v>
      </c>
      <c r="J119" t="s">
        <v>35</v>
      </c>
      <c r="K119" s="3" t="s">
        <v>115</v>
      </c>
      <c r="L119" s="1" t="s">
        <v>30</v>
      </c>
      <c r="M119" s="2">
        <v>44551</v>
      </c>
      <c r="N119" s="1" t="str">
        <f t="shared" si="4"/>
        <v>Closed</v>
      </c>
      <c r="O119" s="2" t="s">
        <v>36</v>
      </c>
      <c r="P119" s="2" t="s">
        <v>36</v>
      </c>
      <c r="Q119" s="2">
        <v>44549</v>
      </c>
      <c r="R119" s="2">
        <v>44563</v>
      </c>
      <c r="S119" s="1">
        <f t="shared" si="5"/>
        <v>14</v>
      </c>
      <c r="T119" s="1" t="s">
        <v>43</v>
      </c>
      <c r="U119" s="1" t="s">
        <v>34</v>
      </c>
    </row>
    <row r="120" spans="1:21" x14ac:dyDescent="0.25">
      <c r="A120" s="2">
        <v>44448</v>
      </c>
      <c r="B120" s="1" t="s">
        <v>23</v>
      </c>
      <c r="C120" t="s">
        <v>113</v>
      </c>
      <c r="D120" t="s">
        <v>114</v>
      </c>
      <c r="E120" t="s">
        <v>89</v>
      </c>
      <c r="F120" s="29" t="s">
        <v>25</v>
      </c>
      <c r="G120" s="1" t="s">
        <v>28</v>
      </c>
      <c r="H120" s="1">
        <f t="shared" ca="1" si="3"/>
        <v>73</v>
      </c>
      <c r="I120" s="1" t="s">
        <v>36</v>
      </c>
      <c r="J120" t="s">
        <v>35</v>
      </c>
      <c r="K120" s="3" t="s">
        <v>115</v>
      </c>
      <c r="L120" s="1" t="s">
        <v>31</v>
      </c>
      <c r="M120" s="2">
        <v>44521</v>
      </c>
      <c r="N120" s="1" t="str">
        <f t="shared" si="4"/>
        <v>Closed</v>
      </c>
      <c r="O120" s="2" t="s">
        <v>36</v>
      </c>
      <c r="P120" s="2" t="s">
        <v>36</v>
      </c>
      <c r="Q120" s="2">
        <v>44532</v>
      </c>
      <c r="R120" s="2">
        <v>44532</v>
      </c>
      <c r="S120" s="1">
        <f t="shared" si="5"/>
        <v>0</v>
      </c>
      <c r="T120" s="1" t="s">
        <v>43</v>
      </c>
      <c r="U120" s="1" t="s">
        <v>33</v>
      </c>
    </row>
    <row r="121" spans="1:21" x14ac:dyDescent="0.25">
      <c r="A121" s="2">
        <v>44238</v>
      </c>
      <c r="B121" s="1" t="s">
        <v>23</v>
      </c>
      <c r="C121" t="s">
        <v>113</v>
      </c>
      <c r="D121" t="s">
        <v>114</v>
      </c>
      <c r="E121" t="s">
        <v>90</v>
      </c>
      <c r="F121" s="29" t="s">
        <v>25</v>
      </c>
      <c r="G121" s="1" t="s">
        <v>28</v>
      </c>
      <c r="H121" s="1">
        <f t="shared" ca="1" si="3"/>
        <v>33</v>
      </c>
      <c r="I121" s="1" t="s">
        <v>36</v>
      </c>
      <c r="J121" t="s">
        <v>35</v>
      </c>
      <c r="K121" s="3" t="s">
        <v>115</v>
      </c>
      <c r="L121" s="1" t="s">
        <v>30</v>
      </c>
      <c r="M121" s="2">
        <v>44271</v>
      </c>
      <c r="N121" s="1" t="str">
        <f t="shared" si="4"/>
        <v>Closed</v>
      </c>
      <c r="O121" s="2" t="s">
        <v>36</v>
      </c>
      <c r="P121" s="2" t="s">
        <v>36</v>
      </c>
      <c r="Q121" s="2">
        <v>44280</v>
      </c>
      <c r="R121" s="2">
        <v>44280</v>
      </c>
      <c r="S121" s="1">
        <f t="shared" si="5"/>
        <v>0</v>
      </c>
      <c r="T121" s="1" t="s">
        <v>38</v>
      </c>
      <c r="U121" s="1" t="s">
        <v>33</v>
      </c>
    </row>
    <row r="122" spans="1:21" x14ac:dyDescent="0.25">
      <c r="A122" s="2">
        <v>44560</v>
      </c>
      <c r="B122" s="1" t="s">
        <v>24</v>
      </c>
      <c r="C122" t="s">
        <v>113</v>
      </c>
      <c r="D122" t="s">
        <v>114</v>
      </c>
      <c r="E122" t="s">
        <v>89</v>
      </c>
      <c r="F122" s="29" t="s">
        <v>26</v>
      </c>
      <c r="G122" s="1" t="s">
        <v>29</v>
      </c>
      <c r="H122" s="1">
        <f ca="1">IF(A122="","",IF(ISNUMBER(M122),M122-A122,TODAY()-A122))</f>
        <v>-51</v>
      </c>
      <c r="I122" s="1" t="s">
        <v>36</v>
      </c>
      <c r="J122" t="s">
        <v>35</v>
      </c>
      <c r="K122" s="3" t="s">
        <v>115</v>
      </c>
      <c r="L122" s="1" t="s">
        <v>30</v>
      </c>
      <c r="M122" s="2" t="s">
        <v>36</v>
      </c>
      <c r="N122" s="1" t="str">
        <f t="shared" si="4"/>
        <v>Open</v>
      </c>
      <c r="O122" s="2" t="s">
        <v>36</v>
      </c>
      <c r="P122" s="2" t="s">
        <v>36</v>
      </c>
      <c r="Q122" s="2">
        <v>44591</v>
      </c>
      <c r="R122" s="2">
        <v>44591</v>
      </c>
      <c r="S122" s="1">
        <f t="shared" si="5"/>
        <v>0</v>
      </c>
      <c r="T122" s="1" t="s">
        <v>43</v>
      </c>
      <c r="U122" s="1" t="s">
        <v>34</v>
      </c>
    </row>
    <row r="123" spans="1:21" x14ac:dyDescent="0.25">
      <c r="A123" s="2">
        <v>44418</v>
      </c>
      <c r="B123" s="1" t="s">
        <v>23</v>
      </c>
      <c r="C123" t="s">
        <v>113</v>
      </c>
      <c r="D123" t="s">
        <v>114</v>
      </c>
      <c r="E123" t="s">
        <v>90</v>
      </c>
      <c r="F123" s="29" t="s">
        <v>25</v>
      </c>
      <c r="G123" s="1" t="s">
        <v>28</v>
      </c>
      <c r="H123" s="1">
        <f t="shared" ca="1" si="3"/>
        <v>69</v>
      </c>
      <c r="I123" s="1" t="s">
        <v>36</v>
      </c>
      <c r="J123" t="s">
        <v>35</v>
      </c>
      <c r="K123" s="3" t="s">
        <v>115</v>
      </c>
      <c r="L123" s="1" t="s">
        <v>31</v>
      </c>
      <c r="M123" s="2">
        <v>44487</v>
      </c>
      <c r="N123" s="1" t="str">
        <f t="shared" si="4"/>
        <v>Closed</v>
      </c>
      <c r="O123" s="2" t="s">
        <v>36</v>
      </c>
      <c r="P123" s="2" t="s">
        <v>36</v>
      </c>
      <c r="Q123" s="2">
        <v>44478</v>
      </c>
      <c r="R123" s="2">
        <v>44495</v>
      </c>
      <c r="S123" s="1">
        <f t="shared" si="5"/>
        <v>17</v>
      </c>
      <c r="T123" s="1" t="s">
        <v>38</v>
      </c>
      <c r="U123" s="1" t="s">
        <v>33</v>
      </c>
    </row>
    <row r="124" spans="1:21" x14ac:dyDescent="0.25">
      <c r="A124" s="2">
        <v>44204</v>
      </c>
      <c r="B124" s="1" t="s">
        <v>22</v>
      </c>
      <c r="C124" t="s">
        <v>113</v>
      </c>
      <c r="D124" t="s">
        <v>114</v>
      </c>
      <c r="E124" t="s">
        <v>89</v>
      </c>
      <c r="F124" s="29" t="s">
        <v>27</v>
      </c>
      <c r="G124" s="1" t="s">
        <v>42</v>
      </c>
      <c r="H124" s="1">
        <f t="shared" ca="1" si="3"/>
        <v>305</v>
      </c>
      <c r="I124" s="1" t="s">
        <v>36</v>
      </c>
      <c r="J124" t="s">
        <v>35</v>
      </c>
      <c r="K124" s="3" t="s">
        <v>115</v>
      </c>
      <c r="L124" s="1" t="s">
        <v>30</v>
      </c>
      <c r="M124" s="2" t="s">
        <v>36</v>
      </c>
      <c r="N124" s="1" t="str">
        <f t="shared" si="4"/>
        <v>Open</v>
      </c>
      <c r="O124" s="2" t="s">
        <v>36</v>
      </c>
      <c r="P124" s="2" t="s">
        <v>36</v>
      </c>
      <c r="Q124" s="2">
        <v>44238</v>
      </c>
      <c r="R124" s="2">
        <v>44238</v>
      </c>
      <c r="S124" s="1">
        <f t="shared" si="5"/>
        <v>0</v>
      </c>
      <c r="T124" s="1" t="s">
        <v>38</v>
      </c>
      <c r="U124" s="1" t="s">
        <v>32</v>
      </c>
    </row>
    <row r="125" spans="1:21" x14ac:dyDescent="0.25">
      <c r="A125" s="2">
        <v>44458</v>
      </c>
      <c r="B125" s="1" t="s">
        <v>24</v>
      </c>
      <c r="C125" t="s">
        <v>113</v>
      </c>
      <c r="D125" t="s">
        <v>114</v>
      </c>
      <c r="E125" t="s">
        <v>90</v>
      </c>
      <c r="F125" s="29" t="s">
        <v>26</v>
      </c>
      <c r="G125" s="1" t="s">
        <v>29</v>
      </c>
      <c r="H125" s="1">
        <f t="shared" ca="1" si="3"/>
        <v>76</v>
      </c>
      <c r="I125" s="1" t="s">
        <v>36</v>
      </c>
      <c r="J125" t="s">
        <v>35</v>
      </c>
      <c r="K125" s="3" t="s">
        <v>115</v>
      </c>
      <c r="L125" s="1" t="s">
        <v>30</v>
      </c>
      <c r="M125" s="2">
        <v>44534</v>
      </c>
      <c r="N125" s="1" t="str">
        <f t="shared" si="4"/>
        <v>Closed</v>
      </c>
      <c r="O125" s="2" t="s">
        <v>36</v>
      </c>
      <c r="P125" s="2" t="s">
        <v>36</v>
      </c>
      <c r="Q125" s="2">
        <v>44540</v>
      </c>
      <c r="R125" s="2">
        <v>44540</v>
      </c>
      <c r="S125" s="1">
        <f t="shared" si="5"/>
        <v>0</v>
      </c>
      <c r="T125" s="1" t="s">
        <v>38</v>
      </c>
      <c r="U125" s="1" t="s">
        <v>34</v>
      </c>
    </row>
    <row r="126" spans="1:21" x14ac:dyDescent="0.25">
      <c r="A126" s="2">
        <v>44437</v>
      </c>
      <c r="B126" s="1" t="s">
        <v>24</v>
      </c>
      <c r="C126" t="s">
        <v>113</v>
      </c>
      <c r="D126" t="s">
        <v>114</v>
      </c>
      <c r="E126" t="s">
        <v>88</v>
      </c>
      <c r="F126" s="29" t="s">
        <v>26</v>
      </c>
      <c r="G126" s="1" t="s">
        <v>29</v>
      </c>
      <c r="H126" s="1">
        <f t="shared" ca="1" si="3"/>
        <v>33</v>
      </c>
      <c r="I126" s="1" t="s">
        <v>36</v>
      </c>
      <c r="J126" t="s">
        <v>35</v>
      </c>
      <c r="K126" s="3" t="s">
        <v>115</v>
      </c>
      <c r="L126" s="1" t="s">
        <v>30</v>
      </c>
      <c r="M126" s="2">
        <v>44470</v>
      </c>
      <c r="N126" s="1" t="str">
        <f t="shared" si="4"/>
        <v>Closed</v>
      </c>
      <c r="O126" s="2" t="s">
        <v>36</v>
      </c>
      <c r="P126" s="2" t="s">
        <v>36</v>
      </c>
      <c r="Q126" s="2">
        <v>44471</v>
      </c>
      <c r="R126" s="2">
        <v>44471</v>
      </c>
      <c r="S126" s="1">
        <f t="shared" si="5"/>
        <v>0</v>
      </c>
      <c r="T126" s="1" t="s">
        <v>38</v>
      </c>
      <c r="U126" s="1" t="s">
        <v>34</v>
      </c>
    </row>
    <row r="127" spans="1:21" x14ac:dyDescent="0.25">
      <c r="A127" s="2"/>
      <c r="F127" s="29"/>
      <c r="H127" s="1" t="str">
        <f t="shared" ref="H127:H187" ca="1" si="6">IF(A127="","",IF(ISNUMBER(M127),M127-A127,TODAY()-A127))</f>
        <v/>
      </c>
      <c r="M127" s="2"/>
      <c r="N127" s="1" t="str">
        <f t="shared" ref="N127:N187" si="7">IF(M127="","",IF(ISNUMBER(M127),"Closed","Open"))</f>
        <v/>
      </c>
      <c r="O127" s="2"/>
      <c r="P127" s="2"/>
      <c r="Q127" s="2"/>
      <c r="R127" s="2"/>
      <c r="S127" s="1" t="str">
        <f t="shared" ref="S127:S187" si="8">IF(Q127="","",R127-Q127)</f>
        <v/>
      </c>
    </row>
    <row r="128" spans="1:21" x14ac:dyDescent="0.25">
      <c r="A128" s="2"/>
      <c r="F128" s="29"/>
      <c r="H128" s="1" t="str">
        <f t="shared" ca="1" si="6"/>
        <v/>
      </c>
      <c r="M128" s="2"/>
      <c r="N128" s="1" t="str">
        <f t="shared" si="7"/>
        <v/>
      </c>
      <c r="O128" s="2"/>
      <c r="P128" s="2"/>
      <c r="Q128" s="2"/>
      <c r="R128" s="2"/>
      <c r="S128" s="1" t="str">
        <f t="shared" si="8"/>
        <v/>
      </c>
    </row>
    <row r="129" spans="1:19" x14ac:dyDescent="0.25">
      <c r="A129" s="2"/>
      <c r="F129" s="29"/>
      <c r="H129" s="1" t="str">
        <f t="shared" ca="1" si="6"/>
        <v/>
      </c>
      <c r="M129" s="2"/>
      <c r="N129" s="1" t="str">
        <f t="shared" si="7"/>
        <v/>
      </c>
      <c r="O129" s="2"/>
      <c r="P129" s="2"/>
      <c r="Q129" s="2"/>
      <c r="R129" s="2"/>
      <c r="S129" s="1" t="str">
        <f t="shared" si="8"/>
        <v/>
      </c>
    </row>
    <row r="130" spans="1:19" x14ac:dyDescent="0.25">
      <c r="A130" s="2"/>
      <c r="F130" s="29"/>
      <c r="H130" s="1" t="str">
        <f t="shared" ca="1" si="6"/>
        <v/>
      </c>
      <c r="M130" s="2"/>
      <c r="N130" s="1" t="str">
        <f t="shared" si="7"/>
        <v/>
      </c>
      <c r="O130" s="2"/>
      <c r="P130" s="2"/>
      <c r="Q130" s="2"/>
      <c r="R130" s="2"/>
      <c r="S130" s="1" t="str">
        <f t="shared" si="8"/>
        <v/>
      </c>
    </row>
    <row r="131" spans="1:19" x14ac:dyDescent="0.25">
      <c r="A131" s="2"/>
      <c r="F131" s="29"/>
      <c r="H131" s="1" t="str">
        <f t="shared" ca="1" si="6"/>
        <v/>
      </c>
      <c r="M131" s="2"/>
      <c r="N131" s="1" t="str">
        <f t="shared" si="7"/>
        <v/>
      </c>
      <c r="O131" s="2"/>
      <c r="P131" s="2"/>
      <c r="Q131" s="2"/>
      <c r="R131" s="2"/>
      <c r="S131" s="1" t="str">
        <f t="shared" si="8"/>
        <v/>
      </c>
    </row>
    <row r="132" spans="1:19" x14ac:dyDescent="0.25">
      <c r="A132" s="2"/>
      <c r="F132" s="29"/>
      <c r="H132" s="1" t="str">
        <f t="shared" ca="1" si="6"/>
        <v/>
      </c>
      <c r="M132" s="2"/>
      <c r="N132" s="1" t="str">
        <f t="shared" si="7"/>
        <v/>
      </c>
      <c r="O132" s="2"/>
      <c r="P132" s="2"/>
      <c r="Q132" s="2"/>
      <c r="R132" s="2"/>
      <c r="S132" s="1" t="str">
        <f t="shared" si="8"/>
        <v/>
      </c>
    </row>
    <row r="133" spans="1:19" x14ac:dyDescent="0.25">
      <c r="A133" s="2"/>
      <c r="F133" s="29"/>
      <c r="H133" s="1" t="str">
        <f t="shared" ca="1" si="6"/>
        <v/>
      </c>
      <c r="M133" s="2"/>
      <c r="N133" s="1" t="str">
        <f t="shared" si="7"/>
        <v/>
      </c>
      <c r="O133" s="2"/>
      <c r="P133" s="2"/>
      <c r="Q133" s="2"/>
      <c r="R133" s="2"/>
      <c r="S133" s="1" t="str">
        <f t="shared" si="8"/>
        <v/>
      </c>
    </row>
    <row r="134" spans="1:19" x14ac:dyDescent="0.25">
      <c r="A134" s="2"/>
      <c r="F134" s="29"/>
      <c r="H134" s="1" t="str">
        <f t="shared" ca="1" si="6"/>
        <v/>
      </c>
      <c r="M134" s="2"/>
      <c r="N134" s="1" t="str">
        <f t="shared" si="7"/>
        <v/>
      </c>
      <c r="O134" s="2"/>
      <c r="P134" s="2"/>
      <c r="Q134" s="2"/>
      <c r="R134" s="2"/>
      <c r="S134" s="1" t="str">
        <f t="shared" si="8"/>
        <v/>
      </c>
    </row>
    <row r="135" spans="1:19" x14ac:dyDescent="0.25">
      <c r="A135" s="2"/>
      <c r="F135" s="29"/>
      <c r="H135" s="1" t="str">
        <f t="shared" ca="1" si="6"/>
        <v/>
      </c>
      <c r="M135" s="2"/>
      <c r="N135" s="1" t="str">
        <f t="shared" si="7"/>
        <v/>
      </c>
      <c r="O135" s="2"/>
      <c r="P135" s="2"/>
      <c r="Q135" s="2"/>
      <c r="R135" s="2"/>
      <c r="S135" s="1" t="str">
        <f t="shared" si="8"/>
        <v/>
      </c>
    </row>
    <row r="136" spans="1:19" x14ac:dyDescent="0.25">
      <c r="A136" s="2"/>
      <c r="F136" s="29"/>
      <c r="H136" s="1" t="str">
        <f t="shared" ca="1" si="6"/>
        <v/>
      </c>
      <c r="M136" s="2"/>
      <c r="N136" s="1" t="str">
        <f t="shared" si="7"/>
        <v/>
      </c>
      <c r="O136" s="2"/>
      <c r="P136" s="2"/>
      <c r="Q136" s="2"/>
      <c r="R136" s="2"/>
      <c r="S136" s="1" t="str">
        <f t="shared" si="8"/>
        <v/>
      </c>
    </row>
    <row r="137" spans="1:19" x14ac:dyDescent="0.25">
      <c r="A137" s="2"/>
      <c r="F137" s="29"/>
      <c r="H137" s="1" t="str">
        <f t="shared" ca="1" si="6"/>
        <v/>
      </c>
      <c r="M137" s="2"/>
      <c r="N137" s="1" t="str">
        <f t="shared" si="7"/>
        <v/>
      </c>
      <c r="O137" s="2"/>
      <c r="P137" s="2"/>
      <c r="Q137" s="2"/>
      <c r="R137" s="2"/>
      <c r="S137" s="1" t="str">
        <f t="shared" si="8"/>
        <v/>
      </c>
    </row>
    <row r="138" spans="1:19" x14ac:dyDescent="0.25">
      <c r="A138" s="2"/>
      <c r="F138" s="29"/>
      <c r="H138" s="1" t="str">
        <f t="shared" ca="1" si="6"/>
        <v/>
      </c>
      <c r="M138" s="2"/>
      <c r="N138" s="1" t="str">
        <f t="shared" si="7"/>
        <v/>
      </c>
      <c r="O138" s="2"/>
      <c r="P138" s="2"/>
      <c r="Q138" s="2"/>
      <c r="R138" s="2"/>
      <c r="S138" s="1" t="str">
        <f t="shared" si="8"/>
        <v/>
      </c>
    </row>
    <row r="139" spans="1:19" x14ac:dyDescent="0.25">
      <c r="A139" s="2"/>
      <c r="F139" s="29"/>
      <c r="H139" s="1" t="str">
        <f t="shared" ca="1" si="6"/>
        <v/>
      </c>
      <c r="M139" s="2"/>
      <c r="N139" s="1" t="str">
        <f t="shared" si="7"/>
        <v/>
      </c>
      <c r="O139" s="2"/>
      <c r="P139" s="2"/>
      <c r="Q139" s="2"/>
      <c r="R139" s="2"/>
      <c r="S139" s="1" t="str">
        <f t="shared" si="8"/>
        <v/>
      </c>
    </row>
    <row r="140" spans="1:19" x14ac:dyDescent="0.25">
      <c r="A140" s="2"/>
      <c r="F140" s="29"/>
      <c r="H140" s="1" t="str">
        <f t="shared" ca="1" si="6"/>
        <v/>
      </c>
      <c r="M140" s="2"/>
      <c r="N140" s="1" t="str">
        <f t="shared" si="7"/>
        <v/>
      </c>
      <c r="O140" s="2"/>
      <c r="P140" s="2"/>
      <c r="Q140" s="2"/>
      <c r="R140" s="2"/>
      <c r="S140" s="1" t="str">
        <f t="shared" si="8"/>
        <v/>
      </c>
    </row>
    <row r="141" spans="1:19" x14ac:dyDescent="0.25">
      <c r="A141" s="2"/>
      <c r="F141" s="29"/>
      <c r="H141" s="1" t="str">
        <f t="shared" ca="1" si="6"/>
        <v/>
      </c>
      <c r="M141" s="2"/>
      <c r="N141" s="1" t="str">
        <f t="shared" si="7"/>
        <v/>
      </c>
      <c r="O141" s="2"/>
      <c r="P141" s="2"/>
      <c r="Q141" s="2"/>
      <c r="R141" s="2"/>
      <c r="S141" s="1" t="str">
        <f t="shared" si="8"/>
        <v/>
      </c>
    </row>
    <row r="142" spans="1:19" x14ac:dyDescent="0.25">
      <c r="A142" s="2"/>
      <c r="F142" s="29"/>
      <c r="H142" s="1" t="str">
        <f t="shared" ca="1" si="6"/>
        <v/>
      </c>
      <c r="M142" s="2"/>
      <c r="N142" s="1" t="str">
        <f t="shared" si="7"/>
        <v/>
      </c>
      <c r="O142" s="2"/>
      <c r="P142" s="2"/>
      <c r="Q142" s="2"/>
      <c r="R142" s="2"/>
      <c r="S142" s="1" t="str">
        <f t="shared" si="8"/>
        <v/>
      </c>
    </row>
    <row r="143" spans="1:19" x14ac:dyDescent="0.25">
      <c r="A143" s="2"/>
      <c r="F143" s="29"/>
      <c r="H143" s="1" t="str">
        <f t="shared" ca="1" si="6"/>
        <v/>
      </c>
      <c r="M143" s="2"/>
      <c r="N143" s="1" t="str">
        <f t="shared" si="7"/>
        <v/>
      </c>
      <c r="O143" s="2"/>
      <c r="P143" s="2"/>
      <c r="Q143" s="2"/>
      <c r="R143" s="2"/>
      <c r="S143" s="1" t="str">
        <f t="shared" si="8"/>
        <v/>
      </c>
    </row>
    <row r="144" spans="1:19" x14ac:dyDescent="0.25">
      <c r="A144" s="2"/>
      <c r="F144" s="29"/>
      <c r="H144" s="1" t="str">
        <f t="shared" ca="1" si="6"/>
        <v/>
      </c>
      <c r="M144" s="2"/>
      <c r="N144" s="1" t="str">
        <f t="shared" si="7"/>
        <v/>
      </c>
      <c r="O144" s="2"/>
      <c r="P144" s="2"/>
      <c r="Q144" s="2"/>
      <c r="R144" s="2"/>
      <c r="S144" s="1" t="str">
        <f t="shared" si="8"/>
        <v/>
      </c>
    </row>
    <row r="145" spans="1:19" x14ac:dyDescent="0.25">
      <c r="A145" s="2"/>
      <c r="F145" s="29"/>
      <c r="H145" s="1" t="str">
        <f t="shared" ca="1" si="6"/>
        <v/>
      </c>
      <c r="M145" s="2"/>
      <c r="N145" s="1" t="str">
        <f t="shared" si="7"/>
        <v/>
      </c>
      <c r="O145" s="2"/>
      <c r="P145" s="2"/>
      <c r="Q145" s="2"/>
      <c r="R145" s="2"/>
      <c r="S145" s="1" t="str">
        <f t="shared" si="8"/>
        <v/>
      </c>
    </row>
    <row r="146" spans="1:19" x14ac:dyDescent="0.25">
      <c r="A146" s="2"/>
      <c r="F146" s="29"/>
      <c r="H146" s="1" t="str">
        <f t="shared" ca="1" si="6"/>
        <v/>
      </c>
      <c r="M146" s="2"/>
      <c r="N146" s="1" t="str">
        <f t="shared" si="7"/>
        <v/>
      </c>
      <c r="O146" s="2"/>
      <c r="P146" s="2"/>
      <c r="Q146" s="2"/>
      <c r="R146" s="2"/>
      <c r="S146" s="1" t="str">
        <f t="shared" si="8"/>
        <v/>
      </c>
    </row>
    <row r="147" spans="1:19" x14ac:dyDescent="0.25">
      <c r="A147" s="2"/>
      <c r="F147" s="29"/>
      <c r="H147" s="1" t="str">
        <f t="shared" ca="1" si="6"/>
        <v/>
      </c>
      <c r="M147" s="2"/>
      <c r="N147" s="1" t="str">
        <f t="shared" si="7"/>
        <v/>
      </c>
      <c r="O147" s="2"/>
      <c r="P147" s="2"/>
      <c r="Q147" s="2"/>
      <c r="R147" s="2"/>
      <c r="S147" s="1" t="str">
        <f t="shared" si="8"/>
        <v/>
      </c>
    </row>
    <row r="148" spans="1:19" x14ac:dyDescent="0.25">
      <c r="A148" s="2"/>
      <c r="F148" s="29"/>
      <c r="H148" s="1" t="str">
        <f t="shared" ca="1" si="6"/>
        <v/>
      </c>
      <c r="M148" s="2"/>
      <c r="N148" s="1" t="str">
        <f t="shared" si="7"/>
        <v/>
      </c>
      <c r="O148" s="2"/>
      <c r="P148" s="2"/>
      <c r="Q148" s="2"/>
      <c r="R148" s="2"/>
      <c r="S148" s="1" t="str">
        <f t="shared" si="8"/>
        <v/>
      </c>
    </row>
    <row r="149" spans="1:19" x14ac:dyDescent="0.25">
      <c r="A149" s="2"/>
      <c r="F149" s="29"/>
      <c r="H149" s="1" t="str">
        <f t="shared" ca="1" si="6"/>
        <v/>
      </c>
      <c r="M149" s="2"/>
      <c r="N149" s="1" t="str">
        <f t="shared" si="7"/>
        <v/>
      </c>
      <c r="O149" s="2"/>
      <c r="P149" s="2"/>
      <c r="Q149" s="2"/>
      <c r="R149" s="2"/>
      <c r="S149" s="1" t="str">
        <f t="shared" si="8"/>
        <v/>
      </c>
    </row>
    <row r="150" spans="1:19" x14ac:dyDescent="0.25">
      <c r="A150" s="2"/>
      <c r="F150" s="29"/>
      <c r="H150" s="1" t="str">
        <f t="shared" ca="1" si="6"/>
        <v/>
      </c>
      <c r="M150" s="2"/>
      <c r="N150" s="1" t="str">
        <f t="shared" si="7"/>
        <v/>
      </c>
      <c r="O150" s="2"/>
      <c r="P150" s="2"/>
      <c r="Q150" s="2"/>
      <c r="R150" s="2"/>
      <c r="S150" s="1" t="str">
        <f t="shared" si="8"/>
        <v/>
      </c>
    </row>
    <row r="151" spans="1:19" x14ac:dyDescent="0.25">
      <c r="A151" s="2"/>
      <c r="F151" s="29"/>
      <c r="H151" s="1" t="str">
        <f t="shared" ca="1" si="6"/>
        <v/>
      </c>
      <c r="M151" s="2"/>
      <c r="N151" s="1" t="str">
        <f t="shared" si="7"/>
        <v/>
      </c>
      <c r="O151" s="2"/>
      <c r="P151" s="2"/>
      <c r="Q151" s="2"/>
      <c r="R151" s="2"/>
      <c r="S151" s="1" t="str">
        <f t="shared" si="8"/>
        <v/>
      </c>
    </row>
    <row r="152" spans="1:19" x14ac:dyDescent="0.25">
      <c r="A152" s="2"/>
      <c r="F152" s="29"/>
      <c r="H152" s="1" t="str">
        <f t="shared" ca="1" si="6"/>
        <v/>
      </c>
      <c r="M152" s="2"/>
      <c r="N152" s="1" t="str">
        <f t="shared" si="7"/>
        <v/>
      </c>
      <c r="O152" s="2"/>
      <c r="P152" s="2"/>
      <c r="Q152" s="2"/>
      <c r="R152" s="2"/>
      <c r="S152" s="1" t="str">
        <f t="shared" si="8"/>
        <v/>
      </c>
    </row>
    <row r="153" spans="1:19" x14ac:dyDescent="0.25">
      <c r="A153" s="2"/>
      <c r="F153" s="29"/>
      <c r="H153" s="1" t="str">
        <f t="shared" ca="1" si="6"/>
        <v/>
      </c>
      <c r="M153" s="2"/>
      <c r="N153" s="1" t="str">
        <f t="shared" si="7"/>
        <v/>
      </c>
      <c r="O153" s="2"/>
      <c r="P153" s="2"/>
      <c r="Q153" s="2"/>
      <c r="R153" s="2"/>
      <c r="S153" s="1" t="str">
        <f t="shared" si="8"/>
        <v/>
      </c>
    </row>
    <row r="154" spans="1:19" x14ac:dyDescent="0.25">
      <c r="A154" s="2"/>
      <c r="F154" s="29"/>
      <c r="H154" s="1" t="str">
        <f t="shared" ca="1" si="6"/>
        <v/>
      </c>
      <c r="M154" s="2"/>
      <c r="N154" s="1" t="str">
        <f t="shared" si="7"/>
        <v/>
      </c>
      <c r="O154" s="2"/>
      <c r="P154" s="2"/>
      <c r="Q154" s="2"/>
      <c r="R154" s="2"/>
      <c r="S154" s="1" t="str">
        <f t="shared" si="8"/>
        <v/>
      </c>
    </row>
    <row r="155" spans="1:19" x14ac:dyDescent="0.25">
      <c r="A155" s="2"/>
      <c r="F155" s="29"/>
      <c r="H155" s="1" t="str">
        <f t="shared" ca="1" si="6"/>
        <v/>
      </c>
      <c r="M155" s="2"/>
      <c r="N155" s="1" t="str">
        <f t="shared" si="7"/>
        <v/>
      </c>
      <c r="O155" s="2"/>
      <c r="P155" s="2"/>
      <c r="Q155" s="2"/>
      <c r="R155" s="2"/>
      <c r="S155" s="1" t="str">
        <f t="shared" si="8"/>
        <v/>
      </c>
    </row>
    <row r="156" spans="1:19" x14ac:dyDescent="0.25">
      <c r="A156" s="2"/>
      <c r="F156" s="29"/>
      <c r="H156" s="1" t="str">
        <f t="shared" ca="1" si="6"/>
        <v/>
      </c>
      <c r="M156" s="2"/>
      <c r="N156" s="1" t="str">
        <f t="shared" si="7"/>
        <v/>
      </c>
      <c r="O156" s="2"/>
      <c r="P156" s="2"/>
      <c r="Q156" s="2"/>
      <c r="R156" s="2"/>
      <c r="S156" s="1" t="str">
        <f t="shared" si="8"/>
        <v/>
      </c>
    </row>
    <row r="157" spans="1:19" x14ac:dyDescent="0.25">
      <c r="A157" s="2"/>
      <c r="F157" s="29"/>
      <c r="H157" s="1" t="str">
        <f t="shared" ca="1" si="6"/>
        <v/>
      </c>
      <c r="M157" s="2"/>
      <c r="N157" s="1" t="str">
        <f t="shared" si="7"/>
        <v/>
      </c>
      <c r="O157" s="2"/>
      <c r="P157" s="2"/>
      <c r="Q157" s="2"/>
      <c r="R157" s="2"/>
      <c r="S157" s="1" t="str">
        <f t="shared" si="8"/>
        <v/>
      </c>
    </row>
    <row r="158" spans="1:19" x14ac:dyDescent="0.25">
      <c r="A158" s="2"/>
      <c r="F158" s="29"/>
      <c r="H158" s="1" t="str">
        <f t="shared" ca="1" si="6"/>
        <v/>
      </c>
      <c r="M158" s="2"/>
      <c r="N158" s="1" t="str">
        <f t="shared" si="7"/>
        <v/>
      </c>
      <c r="O158" s="2"/>
      <c r="P158" s="2"/>
      <c r="Q158" s="2"/>
      <c r="R158" s="2"/>
      <c r="S158" s="1" t="str">
        <f t="shared" si="8"/>
        <v/>
      </c>
    </row>
    <row r="159" spans="1:19" x14ac:dyDescent="0.25">
      <c r="A159" s="2"/>
      <c r="F159" s="29"/>
      <c r="H159" s="1" t="str">
        <f t="shared" ca="1" si="6"/>
        <v/>
      </c>
      <c r="M159" s="2"/>
      <c r="N159" s="1" t="str">
        <f t="shared" si="7"/>
        <v/>
      </c>
      <c r="O159" s="2"/>
      <c r="P159" s="2"/>
      <c r="Q159" s="2"/>
      <c r="R159" s="2"/>
      <c r="S159" s="1" t="str">
        <f t="shared" si="8"/>
        <v/>
      </c>
    </row>
    <row r="160" spans="1:19" x14ac:dyDescent="0.25">
      <c r="A160" s="2"/>
      <c r="F160" s="29"/>
      <c r="H160" s="1" t="str">
        <f t="shared" ca="1" si="6"/>
        <v/>
      </c>
      <c r="M160" s="2"/>
      <c r="N160" s="1" t="str">
        <f t="shared" si="7"/>
        <v/>
      </c>
      <c r="O160" s="2"/>
      <c r="P160" s="2"/>
      <c r="Q160" s="2"/>
      <c r="R160" s="2"/>
      <c r="S160" s="1" t="str">
        <f t="shared" si="8"/>
        <v/>
      </c>
    </row>
    <row r="161" spans="1:19" x14ac:dyDescent="0.25">
      <c r="A161" s="2"/>
      <c r="F161" s="29"/>
      <c r="H161" s="1" t="str">
        <f t="shared" ca="1" si="6"/>
        <v/>
      </c>
      <c r="M161" s="2"/>
      <c r="N161" s="1" t="str">
        <f t="shared" si="7"/>
        <v/>
      </c>
      <c r="O161" s="2"/>
      <c r="P161" s="2"/>
      <c r="Q161" s="2"/>
      <c r="R161" s="2"/>
      <c r="S161" s="1" t="str">
        <f t="shared" si="8"/>
        <v/>
      </c>
    </row>
    <row r="162" spans="1:19" x14ac:dyDescent="0.25">
      <c r="A162" s="2"/>
      <c r="F162" s="29"/>
      <c r="H162" s="1" t="str">
        <f t="shared" ca="1" si="6"/>
        <v/>
      </c>
      <c r="M162" s="2"/>
      <c r="N162" s="1" t="str">
        <f t="shared" si="7"/>
        <v/>
      </c>
      <c r="O162" s="2"/>
      <c r="P162" s="2"/>
      <c r="Q162" s="2"/>
      <c r="R162" s="2"/>
      <c r="S162" s="1" t="str">
        <f t="shared" si="8"/>
        <v/>
      </c>
    </row>
    <row r="163" spans="1:19" x14ac:dyDescent="0.25">
      <c r="A163" s="2"/>
      <c r="F163" s="29"/>
      <c r="H163" s="1" t="str">
        <f t="shared" ca="1" si="6"/>
        <v/>
      </c>
      <c r="M163" s="2"/>
      <c r="N163" s="1" t="str">
        <f t="shared" si="7"/>
        <v/>
      </c>
      <c r="O163" s="2"/>
      <c r="P163" s="2"/>
      <c r="Q163" s="2"/>
      <c r="R163" s="2"/>
      <c r="S163" s="1" t="str">
        <f t="shared" si="8"/>
        <v/>
      </c>
    </row>
    <row r="164" spans="1:19" x14ac:dyDescent="0.25">
      <c r="A164" s="2"/>
      <c r="F164" s="29"/>
      <c r="H164" s="1" t="str">
        <f t="shared" ca="1" si="6"/>
        <v/>
      </c>
      <c r="M164" s="2"/>
      <c r="N164" s="1" t="str">
        <f t="shared" si="7"/>
        <v/>
      </c>
      <c r="O164" s="2"/>
      <c r="P164" s="2"/>
      <c r="Q164" s="2"/>
      <c r="R164" s="2"/>
      <c r="S164" s="1" t="str">
        <f t="shared" si="8"/>
        <v/>
      </c>
    </row>
    <row r="165" spans="1:19" x14ac:dyDescent="0.25">
      <c r="A165" s="2"/>
      <c r="F165" s="29"/>
      <c r="H165" s="1" t="str">
        <f t="shared" ca="1" si="6"/>
        <v/>
      </c>
      <c r="M165" s="2"/>
      <c r="N165" s="1" t="str">
        <f t="shared" si="7"/>
        <v/>
      </c>
      <c r="O165" s="2"/>
      <c r="P165" s="2"/>
      <c r="Q165" s="2"/>
      <c r="R165" s="2"/>
      <c r="S165" s="1" t="str">
        <f t="shared" si="8"/>
        <v/>
      </c>
    </row>
    <row r="166" spans="1:19" x14ac:dyDescent="0.25">
      <c r="A166" s="2"/>
      <c r="F166" s="29"/>
      <c r="H166" s="1" t="str">
        <f t="shared" ca="1" si="6"/>
        <v/>
      </c>
      <c r="M166" s="2"/>
      <c r="N166" s="1" t="str">
        <f t="shared" si="7"/>
        <v/>
      </c>
      <c r="O166" s="2"/>
      <c r="P166" s="2"/>
      <c r="Q166" s="2"/>
      <c r="R166" s="2"/>
      <c r="S166" s="1" t="str">
        <f t="shared" si="8"/>
        <v/>
      </c>
    </row>
    <row r="167" spans="1:19" x14ac:dyDescent="0.25">
      <c r="A167" s="2"/>
      <c r="F167" s="29"/>
      <c r="H167" s="1" t="str">
        <f t="shared" ca="1" si="6"/>
        <v/>
      </c>
      <c r="M167" s="2"/>
      <c r="N167" s="1" t="str">
        <f t="shared" si="7"/>
        <v/>
      </c>
      <c r="O167" s="2"/>
      <c r="P167" s="2"/>
      <c r="Q167" s="2"/>
      <c r="R167" s="2"/>
      <c r="S167" s="1" t="str">
        <f t="shared" si="8"/>
        <v/>
      </c>
    </row>
    <row r="168" spans="1:19" x14ac:dyDescent="0.25">
      <c r="A168" s="2"/>
      <c r="F168" s="29"/>
      <c r="H168" s="1" t="str">
        <f t="shared" ca="1" si="6"/>
        <v/>
      </c>
      <c r="M168" s="2"/>
      <c r="N168" s="1" t="str">
        <f t="shared" si="7"/>
        <v/>
      </c>
      <c r="O168" s="2"/>
      <c r="P168" s="2"/>
      <c r="Q168" s="2"/>
      <c r="R168" s="2"/>
      <c r="S168" s="1" t="str">
        <f t="shared" si="8"/>
        <v/>
      </c>
    </row>
    <row r="169" spans="1:19" x14ac:dyDescent="0.25">
      <c r="A169" s="2"/>
      <c r="F169" s="29"/>
      <c r="H169" s="1" t="str">
        <f t="shared" ca="1" si="6"/>
        <v/>
      </c>
      <c r="M169" s="2"/>
      <c r="N169" s="1" t="str">
        <f t="shared" si="7"/>
        <v/>
      </c>
      <c r="O169" s="2"/>
      <c r="P169" s="2"/>
      <c r="Q169" s="2"/>
      <c r="R169" s="2"/>
      <c r="S169" s="1" t="str">
        <f t="shared" si="8"/>
        <v/>
      </c>
    </row>
    <row r="170" spans="1:19" x14ac:dyDescent="0.25">
      <c r="A170" s="2"/>
      <c r="F170" s="29"/>
      <c r="H170" s="1" t="str">
        <f t="shared" ca="1" si="6"/>
        <v/>
      </c>
      <c r="M170" s="2"/>
      <c r="N170" s="1" t="str">
        <f t="shared" si="7"/>
        <v/>
      </c>
      <c r="O170" s="2"/>
      <c r="P170" s="2"/>
      <c r="Q170" s="2"/>
      <c r="R170" s="2"/>
      <c r="S170" s="1" t="str">
        <f t="shared" si="8"/>
        <v/>
      </c>
    </row>
    <row r="171" spans="1:19" x14ac:dyDescent="0.25">
      <c r="A171" s="2"/>
      <c r="F171" s="29"/>
      <c r="H171" s="1" t="str">
        <f t="shared" ca="1" si="6"/>
        <v/>
      </c>
      <c r="M171" s="2"/>
      <c r="N171" s="1" t="str">
        <f t="shared" si="7"/>
        <v/>
      </c>
      <c r="O171" s="2"/>
      <c r="P171" s="2"/>
      <c r="Q171" s="2"/>
      <c r="R171" s="2"/>
      <c r="S171" s="1" t="str">
        <f t="shared" si="8"/>
        <v/>
      </c>
    </row>
    <row r="172" spans="1:19" x14ac:dyDescent="0.25">
      <c r="A172" s="2"/>
      <c r="F172" s="29"/>
      <c r="H172" s="1" t="str">
        <f t="shared" ca="1" si="6"/>
        <v/>
      </c>
      <c r="M172" s="2"/>
      <c r="N172" s="1" t="str">
        <f t="shared" si="7"/>
        <v/>
      </c>
      <c r="O172" s="2"/>
      <c r="P172" s="2"/>
      <c r="Q172" s="2"/>
      <c r="R172" s="2"/>
      <c r="S172" s="1" t="str">
        <f t="shared" si="8"/>
        <v/>
      </c>
    </row>
    <row r="173" spans="1:19" x14ac:dyDescent="0.25">
      <c r="A173" s="2"/>
      <c r="F173" s="29"/>
      <c r="H173" s="1" t="str">
        <f t="shared" ca="1" si="6"/>
        <v/>
      </c>
      <c r="M173" s="2"/>
      <c r="N173" s="1" t="str">
        <f t="shared" si="7"/>
        <v/>
      </c>
      <c r="O173" s="2"/>
      <c r="P173" s="2"/>
      <c r="Q173" s="2"/>
      <c r="R173" s="2"/>
      <c r="S173" s="1" t="str">
        <f t="shared" si="8"/>
        <v/>
      </c>
    </row>
    <row r="174" spans="1:19" x14ac:dyDescent="0.25">
      <c r="A174" s="2"/>
      <c r="F174" s="29"/>
      <c r="H174" s="1" t="str">
        <f t="shared" ca="1" si="6"/>
        <v/>
      </c>
      <c r="M174" s="2"/>
      <c r="N174" s="1" t="str">
        <f t="shared" si="7"/>
        <v/>
      </c>
      <c r="O174" s="2"/>
      <c r="P174" s="2"/>
      <c r="Q174" s="2"/>
      <c r="R174" s="2"/>
      <c r="S174" s="1" t="str">
        <f t="shared" si="8"/>
        <v/>
      </c>
    </row>
    <row r="175" spans="1:19" x14ac:dyDescent="0.25">
      <c r="A175" s="2"/>
      <c r="F175" s="29"/>
      <c r="H175" s="1" t="str">
        <f t="shared" ca="1" si="6"/>
        <v/>
      </c>
      <c r="M175" s="2"/>
      <c r="N175" s="1" t="str">
        <f t="shared" si="7"/>
        <v/>
      </c>
      <c r="O175" s="2"/>
      <c r="P175" s="2"/>
      <c r="Q175" s="2"/>
      <c r="R175" s="2"/>
      <c r="S175" s="1" t="str">
        <f t="shared" si="8"/>
        <v/>
      </c>
    </row>
    <row r="176" spans="1:19" x14ac:dyDescent="0.25">
      <c r="A176" s="2"/>
      <c r="F176" s="29"/>
      <c r="H176" s="1" t="str">
        <f t="shared" ca="1" si="6"/>
        <v/>
      </c>
      <c r="M176" s="2"/>
      <c r="N176" s="1" t="str">
        <f t="shared" si="7"/>
        <v/>
      </c>
      <c r="O176" s="2"/>
      <c r="P176" s="2"/>
      <c r="Q176" s="2"/>
      <c r="R176" s="2"/>
      <c r="S176" s="1" t="str">
        <f t="shared" si="8"/>
        <v/>
      </c>
    </row>
    <row r="177" spans="1:19" x14ac:dyDescent="0.25">
      <c r="A177" s="2"/>
      <c r="F177" s="29"/>
      <c r="H177" s="1" t="str">
        <f t="shared" ca="1" si="6"/>
        <v/>
      </c>
      <c r="M177" s="2"/>
      <c r="N177" s="1" t="str">
        <f t="shared" si="7"/>
        <v/>
      </c>
      <c r="O177" s="2"/>
      <c r="P177" s="2"/>
      <c r="Q177" s="2"/>
      <c r="R177" s="2"/>
      <c r="S177" s="1" t="str">
        <f t="shared" si="8"/>
        <v/>
      </c>
    </row>
    <row r="178" spans="1:19" x14ac:dyDescent="0.25">
      <c r="A178" s="2"/>
      <c r="F178" s="29"/>
      <c r="H178" s="1" t="str">
        <f t="shared" ca="1" si="6"/>
        <v/>
      </c>
      <c r="M178" s="2"/>
      <c r="N178" s="1" t="str">
        <f t="shared" si="7"/>
        <v/>
      </c>
      <c r="O178" s="2"/>
      <c r="P178" s="2"/>
      <c r="Q178" s="2"/>
      <c r="R178" s="2"/>
      <c r="S178" s="1" t="str">
        <f t="shared" si="8"/>
        <v/>
      </c>
    </row>
    <row r="179" spans="1:19" x14ac:dyDescent="0.25">
      <c r="A179" s="2"/>
      <c r="F179" s="29"/>
      <c r="H179" s="1" t="str">
        <f t="shared" ca="1" si="6"/>
        <v/>
      </c>
      <c r="M179" s="2"/>
      <c r="N179" s="1" t="str">
        <f t="shared" si="7"/>
        <v/>
      </c>
      <c r="O179" s="2"/>
      <c r="P179" s="2"/>
      <c r="Q179" s="2"/>
      <c r="R179" s="2"/>
      <c r="S179" s="1" t="str">
        <f t="shared" si="8"/>
        <v/>
      </c>
    </row>
    <row r="180" spans="1:19" x14ac:dyDescent="0.25">
      <c r="A180" s="2"/>
      <c r="F180" s="29"/>
      <c r="H180" s="1" t="str">
        <f t="shared" ca="1" si="6"/>
        <v/>
      </c>
      <c r="M180" s="2"/>
      <c r="N180" s="1" t="str">
        <f t="shared" si="7"/>
        <v/>
      </c>
      <c r="O180" s="2"/>
      <c r="P180" s="2"/>
      <c r="Q180" s="2"/>
      <c r="R180" s="2"/>
      <c r="S180" s="1" t="str">
        <f t="shared" si="8"/>
        <v/>
      </c>
    </row>
    <row r="181" spans="1:19" x14ac:dyDescent="0.25">
      <c r="A181" s="2"/>
      <c r="F181" s="29"/>
      <c r="H181" s="1" t="str">
        <f t="shared" ca="1" si="6"/>
        <v/>
      </c>
      <c r="M181" s="2"/>
      <c r="N181" s="1" t="str">
        <f t="shared" si="7"/>
        <v/>
      </c>
      <c r="O181" s="2"/>
      <c r="P181" s="2"/>
      <c r="Q181" s="2"/>
      <c r="R181" s="2"/>
      <c r="S181" s="1" t="str">
        <f t="shared" si="8"/>
        <v/>
      </c>
    </row>
    <row r="182" spans="1:19" x14ac:dyDescent="0.25">
      <c r="A182" s="2"/>
      <c r="F182" s="29"/>
      <c r="H182" s="1" t="str">
        <f t="shared" ca="1" si="6"/>
        <v/>
      </c>
      <c r="M182" s="2"/>
      <c r="N182" s="1" t="str">
        <f t="shared" si="7"/>
        <v/>
      </c>
      <c r="O182" s="2"/>
      <c r="P182" s="2"/>
      <c r="Q182" s="2"/>
      <c r="R182" s="2"/>
      <c r="S182" s="1" t="str">
        <f t="shared" si="8"/>
        <v/>
      </c>
    </row>
    <row r="183" spans="1:19" x14ac:dyDescent="0.25">
      <c r="A183" s="2"/>
      <c r="F183" s="29"/>
      <c r="H183" s="1" t="str">
        <f t="shared" ca="1" si="6"/>
        <v/>
      </c>
      <c r="M183" s="2"/>
      <c r="N183" s="1" t="str">
        <f t="shared" si="7"/>
        <v/>
      </c>
      <c r="O183" s="2"/>
      <c r="P183" s="2"/>
      <c r="Q183" s="2"/>
      <c r="R183" s="2"/>
      <c r="S183" s="1" t="str">
        <f t="shared" si="8"/>
        <v/>
      </c>
    </row>
    <row r="184" spans="1:19" x14ac:dyDescent="0.25">
      <c r="A184" s="2"/>
      <c r="F184" s="29"/>
      <c r="H184" s="1" t="str">
        <f t="shared" ca="1" si="6"/>
        <v/>
      </c>
      <c r="M184" s="2"/>
      <c r="N184" s="1" t="str">
        <f t="shared" si="7"/>
        <v/>
      </c>
      <c r="O184" s="2"/>
      <c r="P184" s="2"/>
      <c r="Q184" s="2"/>
      <c r="R184" s="2"/>
      <c r="S184" s="1" t="str">
        <f t="shared" si="8"/>
        <v/>
      </c>
    </row>
    <row r="185" spans="1:19" x14ac:dyDescent="0.25">
      <c r="A185" s="2"/>
      <c r="F185" s="29"/>
      <c r="H185" s="1" t="str">
        <f t="shared" ca="1" si="6"/>
        <v/>
      </c>
      <c r="M185" s="2"/>
      <c r="N185" s="1" t="str">
        <f t="shared" si="7"/>
        <v/>
      </c>
      <c r="O185" s="2"/>
      <c r="P185" s="2"/>
      <c r="Q185" s="2"/>
      <c r="R185" s="2"/>
      <c r="S185" s="1" t="str">
        <f t="shared" si="8"/>
        <v/>
      </c>
    </row>
    <row r="186" spans="1:19" x14ac:dyDescent="0.25">
      <c r="A186" s="2"/>
      <c r="F186" s="29"/>
      <c r="H186" s="1" t="str">
        <f t="shared" ca="1" si="6"/>
        <v/>
      </c>
      <c r="M186" s="2"/>
      <c r="N186" s="1" t="str">
        <f t="shared" si="7"/>
        <v/>
      </c>
      <c r="O186" s="2"/>
      <c r="P186" s="2"/>
      <c r="Q186" s="2"/>
      <c r="R186" s="2"/>
      <c r="S186" s="1" t="str">
        <f t="shared" si="8"/>
        <v/>
      </c>
    </row>
    <row r="187" spans="1:19" x14ac:dyDescent="0.25">
      <c r="A187" s="2"/>
      <c r="F187" s="29"/>
      <c r="H187" s="1" t="str">
        <f t="shared" ca="1" si="6"/>
        <v/>
      </c>
      <c r="M187" s="2"/>
      <c r="N187" s="1" t="str">
        <f t="shared" si="7"/>
        <v/>
      </c>
      <c r="O187" s="2"/>
      <c r="P187" s="2"/>
      <c r="Q187" s="2"/>
      <c r="R187" s="2"/>
      <c r="S187" s="1" t="str">
        <f t="shared" si="8"/>
        <v/>
      </c>
    </row>
    <row r="188" spans="1:19" x14ac:dyDescent="0.25">
      <c r="A188" s="2"/>
      <c r="F188" s="29"/>
      <c r="H188" s="1" t="str">
        <f t="shared" ref="H188:H251" ca="1" si="9">IF(A188="","",IF(ISNUMBER(M188),M188-A188,TODAY()-A188))</f>
        <v/>
      </c>
      <c r="M188" s="2"/>
      <c r="N188" s="1" t="str">
        <f t="shared" ref="N188:N251" si="10">IF(M188="","",IF(ISNUMBER(M188),"Closed","Open"))</f>
        <v/>
      </c>
      <c r="O188" s="2"/>
      <c r="P188" s="2"/>
      <c r="Q188" s="2"/>
      <c r="R188" s="2"/>
      <c r="S188" s="1" t="str">
        <f t="shared" ref="S188:S251" si="11">IF(Q188="","",R188-Q188)</f>
        <v/>
      </c>
    </row>
    <row r="189" spans="1:19" x14ac:dyDescent="0.25">
      <c r="A189" s="2"/>
      <c r="F189" s="29"/>
      <c r="H189" s="1" t="str">
        <f t="shared" ca="1" si="9"/>
        <v/>
      </c>
      <c r="M189" s="2"/>
      <c r="N189" s="1" t="str">
        <f t="shared" si="10"/>
        <v/>
      </c>
      <c r="O189" s="2"/>
      <c r="P189" s="2"/>
      <c r="Q189" s="2"/>
      <c r="R189" s="2"/>
      <c r="S189" s="1" t="str">
        <f t="shared" si="11"/>
        <v/>
      </c>
    </row>
    <row r="190" spans="1:19" x14ac:dyDescent="0.25">
      <c r="A190" s="2"/>
      <c r="F190" s="29"/>
      <c r="H190" s="1" t="str">
        <f t="shared" ca="1" si="9"/>
        <v/>
      </c>
      <c r="M190" s="2"/>
      <c r="N190" s="1" t="str">
        <f t="shared" si="10"/>
        <v/>
      </c>
      <c r="O190" s="2"/>
      <c r="P190" s="2"/>
      <c r="Q190" s="2"/>
      <c r="R190" s="2"/>
      <c r="S190" s="1" t="str">
        <f t="shared" si="11"/>
        <v/>
      </c>
    </row>
    <row r="191" spans="1:19" x14ac:dyDescent="0.25">
      <c r="A191" s="2"/>
      <c r="F191" s="29"/>
      <c r="H191" s="1" t="str">
        <f t="shared" ca="1" si="9"/>
        <v/>
      </c>
      <c r="M191" s="2"/>
      <c r="N191" s="1" t="str">
        <f t="shared" si="10"/>
        <v/>
      </c>
      <c r="O191" s="2"/>
      <c r="P191" s="2"/>
      <c r="Q191" s="2"/>
      <c r="R191" s="2"/>
      <c r="S191" s="1" t="str">
        <f t="shared" si="11"/>
        <v/>
      </c>
    </row>
    <row r="192" spans="1:19" x14ac:dyDescent="0.25">
      <c r="A192" s="2"/>
      <c r="F192" s="29"/>
      <c r="H192" s="1" t="str">
        <f t="shared" ca="1" si="9"/>
        <v/>
      </c>
      <c r="M192" s="2"/>
      <c r="N192" s="1" t="str">
        <f t="shared" si="10"/>
        <v/>
      </c>
      <c r="O192" s="2"/>
      <c r="P192" s="2"/>
      <c r="Q192" s="2"/>
      <c r="R192" s="2"/>
      <c r="S192" s="1" t="str">
        <f t="shared" si="11"/>
        <v/>
      </c>
    </row>
    <row r="193" spans="1:19" x14ac:dyDescent="0.25">
      <c r="A193" s="2"/>
      <c r="F193" s="29"/>
      <c r="H193" s="1" t="str">
        <f t="shared" ca="1" si="9"/>
        <v/>
      </c>
      <c r="M193" s="2"/>
      <c r="N193" s="1" t="str">
        <f t="shared" si="10"/>
        <v/>
      </c>
      <c r="O193" s="2"/>
      <c r="P193" s="2"/>
      <c r="Q193" s="2"/>
      <c r="R193" s="2"/>
      <c r="S193" s="1" t="str">
        <f t="shared" si="11"/>
        <v/>
      </c>
    </row>
    <row r="194" spans="1:19" x14ac:dyDescent="0.25">
      <c r="A194" s="2"/>
      <c r="F194" s="29"/>
      <c r="H194" s="1" t="str">
        <f t="shared" ca="1" si="9"/>
        <v/>
      </c>
      <c r="M194" s="2"/>
      <c r="N194" s="1" t="str">
        <f t="shared" si="10"/>
        <v/>
      </c>
      <c r="O194" s="2"/>
      <c r="P194" s="2"/>
      <c r="Q194" s="2"/>
      <c r="R194" s="2"/>
      <c r="S194" s="1" t="str">
        <f t="shared" si="11"/>
        <v/>
      </c>
    </row>
    <row r="195" spans="1:19" x14ac:dyDescent="0.25">
      <c r="A195" s="2"/>
      <c r="F195" s="29"/>
      <c r="H195" s="1" t="str">
        <f t="shared" ca="1" si="9"/>
        <v/>
      </c>
      <c r="M195" s="2"/>
      <c r="N195" s="1" t="str">
        <f t="shared" si="10"/>
        <v/>
      </c>
      <c r="O195" s="2"/>
      <c r="P195" s="2"/>
      <c r="Q195" s="2"/>
      <c r="R195" s="2"/>
      <c r="S195" s="1" t="str">
        <f t="shared" si="11"/>
        <v/>
      </c>
    </row>
    <row r="196" spans="1:19" x14ac:dyDescent="0.25">
      <c r="A196" s="2"/>
      <c r="F196" s="29"/>
      <c r="H196" s="1" t="str">
        <f t="shared" ca="1" si="9"/>
        <v/>
      </c>
      <c r="M196" s="2"/>
      <c r="N196" s="1" t="str">
        <f t="shared" si="10"/>
        <v/>
      </c>
      <c r="O196" s="2"/>
      <c r="P196" s="2"/>
      <c r="Q196" s="2"/>
      <c r="R196" s="2"/>
      <c r="S196" s="1" t="str">
        <f t="shared" si="11"/>
        <v/>
      </c>
    </row>
    <row r="197" spans="1:19" x14ac:dyDescent="0.25">
      <c r="A197" s="2"/>
      <c r="F197" s="29"/>
      <c r="H197" s="1" t="str">
        <f t="shared" ca="1" si="9"/>
        <v/>
      </c>
      <c r="M197" s="2"/>
      <c r="N197" s="1" t="str">
        <f t="shared" si="10"/>
        <v/>
      </c>
      <c r="O197" s="2"/>
      <c r="P197" s="2"/>
      <c r="Q197" s="2"/>
      <c r="R197" s="2"/>
      <c r="S197" s="1" t="str">
        <f t="shared" si="11"/>
        <v/>
      </c>
    </row>
    <row r="198" spans="1:19" x14ac:dyDescent="0.25">
      <c r="A198" s="2"/>
      <c r="F198" s="29"/>
      <c r="H198" s="1" t="str">
        <f t="shared" ca="1" si="9"/>
        <v/>
      </c>
      <c r="M198" s="2"/>
      <c r="N198" s="1" t="str">
        <f t="shared" si="10"/>
        <v/>
      </c>
      <c r="O198" s="2"/>
      <c r="P198" s="2"/>
      <c r="Q198" s="2"/>
      <c r="R198" s="2"/>
      <c r="S198" s="1" t="str">
        <f t="shared" si="11"/>
        <v/>
      </c>
    </row>
    <row r="199" spans="1:19" x14ac:dyDescent="0.25">
      <c r="A199" s="2"/>
      <c r="F199" s="29"/>
      <c r="H199" s="1" t="str">
        <f t="shared" ca="1" si="9"/>
        <v/>
      </c>
      <c r="M199" s="2"/>
      <c r="N199" s="1" t="str">
        <f t="shared" si="10"/>
        <v/>
      </c>
      <c r="O199" s="2"/>
      <c r="P199" s="2"/>
      <c r="Q199" s="2"/>
      <c r="R199" s="2"/>
      <c r="S199" s="1" t="str">
        <f t="shared" si="11"/>
        <v/>
      </c>
    </row>
    <row r="200" spans="1:19" x14ac:dyDescent="0.25">
      <c r="A200" s="2"/>
      <c r="F200" s="29"/>
      <c r="H200" s="1" t="str">
        <f t="shared" ca="1" si="9"/>
        <v/>
      </c>
      <c r="M200" s="2"/>
      <c r="N200" s="1" t="str">
        <f t="shared" si="10"/>
        <v/>
      </c>
      <c r="O200" s="2"/>
      <c r="P200" s="2"/>
      <c r="Q200" s="2"/>
      <c r="R200" s="2"/>
      <c r="S200" s="1" t="str">
        <f t="shared" si="11"/>
        <v/>
      </c>
    </row>
    <row r="201" spans="1:19" x14ac:dyDescent="0.25">
      <c r="A201" s="2"/>
      <c r="F201" s="29"/>
      <c r="H201" s="1" t="str">
        <f t="shared" ca="1" si="9"/>
        <v/>
      </c>
      <c r="M201" s="2"/>
      <c r="N201" s="1" t="str">
        <f t="shared" si="10"/>
        <v/>
      </c>
      <c r="O201" s="2"/>
      <c r="P201" s="2"/>
      <c r="Q201" s="2"/>
      <c r="R201" s="2"/>
      <c r="S201" s="1" t="str">
        <f t="shared" si="11"/>
        <v/>
      </c>
    </row>
    <row r="202" spans="1:19" x14ac:dyDescent="0.25">
      <c r="A202" s="2"/>
      <c r="F202" s="29"/>
      <c r="H202" s="1" t="str">
        <f t="shared" ca="1" si="9"/>
        <v/>
      </c>
      <c r="M202" s="2"/>
      <c r="N202" s="1" t="str">
        <f t="shared" si="10"/>
        <v/>
      </c>
      <c r="O202" s="2"/>
      <c r="P202" s="2"/>
      <c r="Q202" s="2"/>
      <c r="R202" s="2"/>
      <c r="S202" s="1" t="str">
        <f t="shared" si="11"/>
        <v/>
      </c>
    </row>
    <row r="203" spans="1:19" x14ac:dyDescent="0.25">
      <c r="A203" s="2"/>
      <c r="F203" s="29"/>
      <c r="H203" s="1" t="str">
        <f t="shared" ca="1" si="9"/>
        <v/>
      </c>
      <c r="M203" s="2"/>
      <c r="N203" s="1" t="str">
        <f t="shared" si="10"/>
        <v/>
      </c>
      <c r="O203" s="2"/>
      <c r="P203" s="2"/>
      <c r="Q203" s="2"/>
      <c r="R203" s="2"/>
      <c r="S203" s="1" t="str">
        <f t="shared" si="11"/>
        <v/>
      </c>
    </row>
    <row r="204" spans="1:19" x14ac:dyDescent="0.25">
      <c r="A204" s="2"/>
      <c r="F204" s="29"/>
      <c r="H204" s="1" t="str">
        <f t="shared" ca="1" si="9"/>
        <v/>
      </c>
      <c r="M204" s="2"/>
      <c r="N204" s="1" t="str">
        <f t="shared" si="10"/>
        <v/>
      </c>
      <c r="O204" s="2"/>
      <c r="P204" s="2"/>
      <c r="Q204" s="2"/>
      <c r="R204" s="2"/>
      <c r="S204" s="1" t="str">
        <f t="shared" si="11"/>
        <v/>
      </c>
    </row>
    <row r="205" spans="1:19" x14ac:dyDescent="0.25">
      <c r="A205" s="2"/>
      <c r="F205" s="29"/>
      <c r="H205" s="1" t="str">
        <f t="shared" ca="1" si="9"/>
        <v/>
      </c>
      <c r="M205" s="2"/>
      <c r="N205" s="1" t="str">
        <f t="shared" si="10"/>
        <v/>
      </c>
      <c r="O205" s="2"/>
      <c r="P205" s="2"/>
      <c r="Q205" s="2"/>
      <c r="R205" s="2"/>
      <c r="S205" s="1" t="str">
        <f t="shared" si="11"/>
        <v/>
      </c>
    </row>
    <row r="206" spans="1:19" x14ac:dyDescent="0.25">
      <c r="A206" s="2"/>
      <c r="F206" s="29"/>
      <c r="H206" s="1" t="str">
        <f t="shared" ca="1" si="9"/>
        <v/>
      </c>
      <c r="M206" s="2"/>
      <c r="N206" s="1" t="str">
        <f t="shared" si="10"/>
        <v/>
      </c>
      <c r="O206" s="2"/>
      <c r="P206" s="2"/>
      <c r="Q206" s="2"/>
      <c r="R206" s="2"/>
      <c r="S206" s="1" t="str">
        <f t="shared" si="11"/>
        <v/>
      </c>
    </row>
    <row r="207" spans="1:19" x14ac:dyDescent="0.25">
      <c r="A207" s="2"/>
      <c r="F207" s="29"/>
      <c r="H207" s="1" t="str">
        <f t="shared" ca="1" si="9"/>
        <v/>
      </c>
      <c r="M207" s="2"/>
      <c r="N207" s="1" t="str">
        <f t="shared" si="10"/>
        <v/>
      </c>
      <c r="O207" s="2"/>
      <c r="P207" s="2"/>
      <c r="Q207" s="2"/>
      <c r="R207" s="2"/>
      <c r="S207" s="1" t="str">
        <f t="shared" si="11"/>
        <v/>
      </c>
    </row>
    <row r="208" spans="1:19" x14ac:dyDescent="0.25">
      <c r="A208" s="2"/>
      <c r="F208" s="29"/>
      <c r="H208" s="1" t="str">
        <f t="shared" ca="1" si="9"/>
        <v/>
      </c>
      <c r="M208" s="2"/>
      <c r="N208" s="1" t="str">
        <f t="shared" si="10"/>
        <v/>
      </c>
      <c r="O208" s="2"/>
      <c r="P208" s="2"/>
      <c r="Q208" s="2"/>
      <c r="R208" s="2"/>
      <c r="S208" s="1" t="str">
        <f t="shared" si="11"/>
        <v/>
      </c>
    </row>
    <row r="209" spans="1:19" x14ac:dyDescent="0.25">
      <c r="A209" s="2"/>
      <c r="F209" s="29"/>
      <c r="H209" s="1" t="str">
        <f t="shared" ca="1" si="9"/>
        <v/>
      </c>
      <c r="M209" s="2"/>
      <c r="N209" s="1" t="str">
        <f t="shared" si="10"/>
        <v/>
      </c>
      <c r="O209" s="2"/>
      <c r="P209" s="2"/>
      <c r="Q209" s="2"/>
      <c r="R209" s="2"/>
      <c r="S209" s="1" t="str">
        <f t="shared" si="11"/>
        <v/>
      </c>
    </row>
    <row r="210" spans="1:19" x14ac:dyDescent="0.25">
      <c r="A210" s="2"/>
      <c r="F210" s="29"/>
      <c r="H210" s="1" t="str">
        <f t="shared" ca="1" si="9"/>
        <v/>
      </c>
      <c r="M210" s="2"/>
      <c r="N210" s="1" t="str">
        <f t="shared" si="10"/>
        <v/>
      </c>
      <c r="O210" s="2"/>
      <c r="P210" s="2"/>
      <c r="Q210" s="2"/>
      <c r="R210" s="2"/>
      <c r="S210" s="1" t="str">
        <f t="shared" si="11"/>
        <v/>
      </c>
    </row>
    <row r="211" spans="1:19" x14ac:dyDescent="0.25">
      <c r="A211" s="2"/>
      <c r="F211" s="29"/>
      <c r="H211" s="1" t="str">
        <f t="shared" ca="1" si="9"/>
        <v/>
      </c>
      <c r="M211" s="2"/>
      <c r="N211" s="1" t="str">
        <f t="shared" si="10"/>
        <v/>
      </c>
      <c r="O211" s="2"/>
      <c r="P211" s="2"/>
      <c r="Q211" s="2"/>
      <c r="R211" s="2"/>
      <c r="S211" s="1" t="str">
        <f t="shared" si="11"/>
        <v/>
      </c>
    </row>
    <row r="212" spans="1:19" x14ac:dyDescent="0.25">
      <c r="A212" s="2"/>
      <c r="F212" s="29"/>
      <c r="H212" s="1" t="str">
        <f t="shared" ca="1" si="9"/>
        <v/>
      </c>
      <c r="M212" s="2"/>
      <c r="N212" s="1" t="str">
        <f t="shared" si="10"/>
        <v/>
      </c>
      <c r="O212" s="2"/>
      <c r="P212" s="2"/>
      <c r="Q212" s="2"/>
      <c r="R212" s="2"/>
      <c r="S212" s="1" t="str">
        <f t="shared" si="11"/>
        <v/>
      </c>
    </row>
    <row r="213" spans="1:19" x14ac:dyDescent="0.25">
      <c r="A213" s="2"/>
      <c r="F213" s="29"/>
      <c r="H213" s="1" t="str">
        <f t="shared" ca="1" si="9"/>
        <v/>
      </c>
      <c r="M213" s="2"/>
      <c r="N213" s="1" t="str">
        <f t="shared" si="10"/>
        <v/>
      </c>
      <c r="O213" s="2"/>
      <c r="P213" s="2"/>
      <c r="Q213" s="2"/>
      <c r="R213" s="2"/>
      <c r="S213" s="1" t="str">
        <f t="shared" si="11"/>
        <v/>
      </c>
    </row>
    <row r="214" spans="1:19" x14ac:dyDescent="0.25">
      <c r="A214" s="2"/>
      <c r="F214" s="29"/>
      <c r="H214" s="1" t="str">
        <f t="shared" ca="1" si="9"/>
        <v/>
      </c>
      <c r="M214" s="2"/>
      <c r="N214" s="1" t="str">
        <f t="shared" si="10"/>
        <v/>
      </c>
      <c r="O214" s="2"/>
      <c r="P214" s="2"/>
      <c r="Q214" s="2"/>
      <c r="R214" s="2"/>
      <c r="S214" s="1" t="str">
        <f t="shared" si="11"/>
        <v/>
      </c>
    </row>
    <row r="215" spans="1:19" x14ac:dyDescent="0.25">
      <c r="A215" s="2"/>
      <c r="F215" s="29"/>
      <c r="H215" s="1" t="str">
        <f t="shared" ca="1" si="9"/>
        <v/>
      </c>
      <c r="M215" s="2"/>
      <c r="N215" s="1" t="str">
        <f t="shared" si="10"/>
        <v/>
      </c>
      <c r="O215" s="2"/>
      <c r="P215" s="2"/>
      <c r="Q215" s="2"/>
      <c r="R215" s="2"/>
      <c r="S215" s="1" t="str">
        <f t="shared" si="11"/>
        <v/>
      </c>
    </row>
    <row r="216" spans="1:19" x14ac:dyDescent="0.25">
      <c r="A216" s="2"/>
      <c r="F216" s="29"/>
      <c r="H216" s="1" t="str">
        <f t="shared" ca="1" si="9"/>
        <v/>
      </c>
      <c r="M216" s="2"/>
      <c r="N216" s="1" t="str">
        <f t="shared" si="10"/>
        <v/>
      </c>
      <c r="O216" s="2"/>
      <c r="P216" s="2"/>
      <c r="Q216" s="2"/>
      <c r="R216" s="2"/>
      <c r="S216" s="1" t="str">
        <f t="shared" si="11"/>
        <v/>
      </c>
    </row>
    <row r="217" spans="1:19" x14ac:dyDescent="0.25">
      <c r="A217" s="2"/>
      <c r="F217" s="29"/>
      <c r="H217" s="1" t="str">
        <f t="shared" ca="1" si="9"/>
        <v/>
      </c>
      <c r="M217" s="2"/>
      <c r="N217" s="1" t="str">
        <f t="shared" si="10"/>
        <v/>
      </c>
      <c r="O217" s="2"/>
      <c r="P217" s="2"/>
      <c r="Q217" s="2"/>
      <c r="R217" s="2"/>
      <c r="S217" s="1" t="str">
        <f t="shared" si="11"/>
        <v/>
      </c>
    </row>
    <row r="218" spans="1:19" x14ac:dyDescent="0.25">
      <c r="A218" s="2"/>
      <c r="F218" s="29"/>
      <c r="H218" s="1" t="str">
        <f t="shared" ca="1" si="9"/>
        <v/>
      </c>
      <c r="M218" s="2"/>
      <c r="N218" s="1" t="str">
        <f t="shared" si="10"/>
        <v/>
      </c>
      <c r="O218" s="2"/>
      <c r="P218" s="2"/>
      <c r="Q218" s="2"/>
      <c r="R218" s="2"/>
      <c r="S218" s="1" t="str">
        <f t="shared" si="11"/>
        <v/>
      </c>
    </row>
    <row r="219" spans="1:19" x14ac:dyDescent="0.25">
      <c r="A219" s="2"/>
      <c r="F219" s="29"/>
      <c r="H219" s="1" t="str">
        <f t="shared" ca="1" si="9"/>
        <v/>
      </c>
      <c r="M219" s="2"/>
      <c r="N219" s="1" t="str">
        <f t="shared" si="10"/>
        <v/>
      </c>
      <c r="O219" s="2"/>
      <c r="P219" s="2"/>
      <c r="Q219" s="2"/>
      <c r="R219" s="2"/>
      <c r="S219" s="1" t="str">
        <f t="shared" si="11"/>
        <v/>
      </c>
    </row>
    <row r="220" spans="1:19" x14ac:dyDescent="0.25">
      <c r="A220" s="2"/>
      <c r="F220" s="29"/>
      <c r="H220" s="1" t="str">
        <f t="shared" ca="1" si="9"/>
        <v/>
      </c>
      <c r="M220" s="2"/>
      <c r="N220" s="1" t="str">
        <f t="shared" si="10"/>
        <v/>
      </c>
      <c r="O220" s="2"/>
      <c r="P220" s="2"/>
      <c r="Q220" s="2"/>
      <c r="R220" s="2"/>
      <c r="S220" s="1" t="str">
        <f t="shared" si="11"/>
        <v/>
      </c>
    </row>
    <row r="221" spans="1:19" x14ac:dyDescent="0.25">
      <c r="A221" s="2"/>
      <c r="F221" s="29"/>
      <c r="H221" s="1" t="str">
        <f t="shared" ca="1" si="9"/>
        <v/>
      </c>
      <c r="M221" s="2"/>
      <c r="N221" s="1" t="str">
        <f t="shared" si="10"/>
        <v/>
      </c>
      <c r="O221" s="2"/>
      <c r="P221" s="2"/>
      <c r="Q221" s="2"/>
      <c r="R221" s="2"/>
      <c r="S221" s="1" t="str">
        <f t="shared" si="11"/>
        <v/>
      </c>
    </row>
    <row r="222" spans="1:19" x14ac:dyDescent="0.25">
      <c r="A222" s="2"/>
      <c r="F222" s="29"/>
      <c r="H222" s="1" t="str">
        <f t="shared" ca="1" si="9"/>
        <v/>
      </c>
      <c r="M222" s="2"/>
      <c r="N222" s="1" t="str">
        <f t="shared" si="10"/>
        <v/>
      </c>
      <c r="O222" s="2"/>
      <c r="P222" s="2"/>
      <c r="Q222" s="2"/>
      <c r="R222" s="2"/>
      <c r="S222" s="1" t="str">
        <f t="shared" si="11"/>
        <v/>
      </c>
    </row>
    <row r="223" spans="1:19" x14ac:dyDescent="0.25">
      <c r="A223" s="2"/>
      <c r="F223" s="29"/>
      <c r="H223" s="1" t="str">
        <f t="shared" ca="1" si="9"/>
        <v/>
      </c>
      <c r="M223" s="2"/>
      <c r="N223" s="1" t="str">
        <f t="shared" si="10"/>
        <v/>
      </c>
      <c r="O223" s="2"/>
      <c r="P223" s="2"/>
      <c r="Q223" s="2"/>
      <c r="R223" s="2"/>
      <c r="S223" s="1" t="str">
        <f t="shared" si="11"/>
        <v/>
      </c>
    </row>
    <row r="224" spans="1:19" x14ac:dyDescent="0.25">
      <c r="A224" s="2"/>
      <c r="F224" s="29"/>
      <c r="H224" s="1" t="str">
        <f t="shared" ca="1" si="9"/>
        <v/>
      </c>
      <c r="M224" s="2"/>
      <c r="N224" s="1" t="str">
        <f t="shared" si="10"/>
        <v/>
      </c>
      <c r="O224" s="2"/>
      <c r="P224" s="2"/>
      <c r="Q224" s="2"/>
      <c r="R224" s="2"/>
      <c r="S224" s="1" t="str">
        <f t="shared" si="11"/>
        <v/>
      </c>
    </row>
    <row r="225" spans="1:19" x14ac:dyDescent="0.25">
      <c r="A225" s="2"/>
      <c r="F225" s="29"/>
      <c r="H225" s="1" t="str">
        <f t="shared" ca="1" si="9"/>
        <v/>
      </c>
      <c r="M225" s="2"/>
      <c r="N225" s="1" t="str">
        <f t="shared" si="10"/>
        <v/>
      </c>
      <c r="O225" s="2"/>
      <c r="P225" s="2"/>
      <c r="Q225" s="2"/>
      <c r="R225" s="2"/>
      <c r="S225" s="1" t="str">
        <f t="shared" si="11"/>
        <v/>
      </c>
    </row>
    <row r="226" spans="1:19" x14ac:dyDescent="0.25">
      <c r="A226" s="2"/>
      <c r="F226" s="29"/>
      <c r="H226" s="1" t="str">
        <f t="shared" ca="1" si="9"/>
        <v/>
      </c>
      <c r="M226" s="2"/>
      <c r="N226" s="1" t="str">
        <f t="shared" si="10"/>
        <v/>
      </c>
      <c r="O226" s="2"/>
      <c r="P226" s="2"/>
      <c r="Q226" s="2"/>
      <c r="R226" s="2"/>
      <c r="S226" s="1" t="str">
        <f t="shared" si="11"/>
        <v/>
      </c>
    </row>
    <row r="227" spans="1:19" x14ac:dyDescent="0.25">
      <c r="A227" s="2"/>
      <c r="F227" s="29"/>
      <c r="H227" s="1" t="str">
        <f t="shared" ca="1" si="9"/>
        <v/>
      </c>
      <c r="M227" s="2"/>
      <c r="N227" s="1" t="str">
        <f t="shared" si="10"/>
        <v/>
      </c>
      <c r="O227" s="2"/>
      <c r="P227" s="2"/>
      <c r="Q227" s="2"/>
      <c r="R227" s="2"/>
      <c r="S227" s="1" t="str">
        <f t="shared" si="11"/>
        <v/>
      </c>
    </row>
    <row r="228" spans="1:19" x14ac:dyDescent="0.25">
      <c r="A228" s="2"/>
      <c r="F228" s="29"/>
      <c r="H228" s="1" t="str">
        <f t="shared" ca="1" si="9"/>
        <v/>
      </c>
      <c r="M228" s="2"/>
      <c r="N228" s="1" t="str">
        <f t="shared" si="10"/>
        <v/>
      </c>
      <c r="O228" s="2"/>
      <c r="P228" s="2"/>
      <c r="Q228" s="2"/>
      <c r="R228" s="2"/>
      <c r="S228" s="1" t="str">
        <f t="shared" si="11"/>
        <v/>
      </c>
    </row>
    <row r="229" spans="1:19" x14ac:dyDescent="0.25">
      <c r="A229" s="2"/>
      <c r="F229" s="29"/>
      <c r="H229" s="1" t="str">
        <f t="shared" ca="1" si="9"/>
        <v/>
      </c>
      <c r="M229" s="2"/>
      <c r="N229" s="1" t="str">
        <f t="shared" si="10"/>
        <v/>
      </c>
      <c r="O229" s="2"/>
      <c r="P229" s="2"/>
      <c r="Q229" s="2"/>
      <c r="R229" s="2"/>
      <c r="S229" s="1" t="str">
        <f t="shared" si="11"/>
        <v/>
      </c>
    </row>
    <row r="230" spans="1:19" x14ac:dyDescent="0.25">
      <c r="A230" s="2"/>
      <c r="F230" s="29"/>
      <c r="H230" s="1" t="str">
        <f t="shared" ca="1" si="9"/>
        <v/>
      </c>
      <c r="M230" s="2"/>
      <c r="N230" s="1" t="str">
        <f t="shared" si="10"/>
        <v/>
      </c>
      <c r="O230" s="2"/>
      <c r="P230" s="2"/>
      <c r="Q230" s="2"/>
      <c r="R230" s="2"/>
      <c r="S230" s="1" t="str">
        <f t="shared" si="11"/>
        <v/>
      </c>
    </row>
    <row r="231" spans="1:19" x14ac:dyDescent="0.25">
      <c r="A231" s="2"/>
      <c r="F231" s="29"/>
      <c r="H231" s="1" t="str">
        <f t="shared" ca="1" si="9"/>
        <v/>
      </c>
      <c r="M231" s="2"/>
      <c r="N231" s="1" t="str">
        <f t="shared" si="10"/>
        <v/>
      </c>
      <c r="O231" s="2"/>
      <c r="P231" s="2"/>
      <c r="Q231" s="2"/>
      <c r="R231" s="2"/>
      <c r="S231" s="1" t="str">
        <f t="shared" si="11"/>
        <v/>
      </c>
    </row>
    <row r="232" spans="1:19" x14ac:dyDescent="0.25">
      <c r="A232" s="2"/>
      <c r="F232" s="29"/>
      <c r="H232" s="1" t="str">
        <f t="shared" ca="1" si="9"/>
        <v/>
      </c>
      <c r="M232" s="2"/>
      <c r="N232" s="1" t="str">
        <f t="shared" si="10"/>
        <v/>
      </c>
      <c r="O232" s="2"/>
      <c r="P232" s="2"/>
      <c r="Q232" s="2"/>
      <c r="R232" s="2"/>
      <c r="S232" s="1" t="str">
        <f t="shared" si="11"/>
        <v/>
      </c>
    </row>
    <row r="233" spans="1:19" x14ac:dyDescent="0.25">
      <c r="A233" s="2"/>
      <c r="F233" s="29"/>
      <c r="H233" s="1" t="str">
        <f t="shared" ca="1" si="9"/>
        <v/>
      </c>
      <c r="M233" s="2"/>
      <c r="N233" s="1" t="str">
        <f t="shared" si="10"/>
        <v/>
      </c>
      <c r="O233" s="2"/>
      <c r="P233" s="2"/>
      <c r="Q233" s="2"/>
      <c r="R233" s="2"/>
      <c r="S233" s="1" t="str">
        <f t="shared" si="11"/>
        <v/>
      </c>
    </row>
    <row r="234" spans="1:19" x14ac:dyDescent="0.25">
      <c r="A234" s="2"/>
      <c r="F234" s="29"/>
      <c r="H234" s="1" t="str">
        <f t="shared" ca="1" si="9"/>
        <v/>
      </c>
      <c r="M234" s="2"/>
      <c r="N234" s="1" t="str">
        <f t="shared" si="10"/>
        <v/>
      </c>
      <c r="O234" s="2"/>
      <c r="P234" s="2"/>
      <c r="Q234" s="2"/>
      <c r="R234" s="2"/>
      <c r="S234" s="1" t="str">
        <f t="shared" si="11"/>
        <v/>
      </c>
    </row>
    <row r="235" spans="1:19" x14ac:dyDescent="0.25">
      <c r="A235" s="2"/>
      <c r="F235" s="29"/>
      <c r="H235" s="1" t="str">
        <f t="shared" ca="1" si="9"/>
        <v/>
      </c>
      <c r="M235" s="2"/>
      <c r="N235" s="1" t="str">
        <f t="shared" si="10"/>
        <v/>
      </c>
      <c r="O235" s="2"/>
      <c r="P235" s="2"/>
      <c r="Q235" s="2"/>
      <c r="R235" s="2"/>
      <c r="S235" s="1" t="str">
        <f t="shared" si="11"/>
        <v/>
      </c>
    </row>
    <row r="236" spans="1:19" x14ac:dyDescent="0.25">
      <c r="A236" s="2"/>
      <c r="F236" s="29"/>
      <c r="H236" s="1" t="str">
        <f t="shared" ca="1" si="9"/>
        <v/>
      </c>
      <c r="M236" s="2"/>
      <c r="N236" s="1" t="str">
        <f t="shared" si="10"/>
        <v/>
      </c>
      <c r="O236" s="2"/>
      <c r="P236" s="2"/>
      <c r="Q236" s="2"/>
      <c r="R236" s="2"/>
      <c r="S236" s="1" t="str">
        <f t="shared" si="11"/>
        <v/>
      </c>
    </row>
    <row r="237" spans="1:19" x14ac:dyDescent="0.25">
      <c r="A237" s="2"/>
      <c r="F237" s="29"/>
      <c r="H237" s="1" t="str">
        <f t="shared" ca="1" si="9"/>
        <v/>
      </c>
      <c r="M237" s="2"/>
      <c r="N237" s="1" t="str">
        <f t="shared" si="10"/>
        <v/>
      </c>
      <c r="O237" s="2"/>
      <c r="P237" s="2"/>
      <c r="Q237" s="2"/>
      <c r="R237" s="2"/>
      <c r="S237" s="1" t="str">
        <f t="shared" si="11"/>
        <v/>
      </c>
    </row>
    <row r="238" spans="1:19" x14ac:dyDescent="0.25">
      <c r="A238" s="2"/>
      <c r="F238" s="29"/>
      <c r="H238" s="1" t="str">
        <f t="shared" ca="1" si="9"/>
        <v/>
      </c>
      <c r="M238" s="2"/>
      <c r="N238" s="1" t="str">
        <f t="shared" si="10"/>
        <v/>
      </c>
      <c r="O238" s="2"/>
      <c r="P238" s="2"/>
      <c r="Q238" s="2"/>
      <c r="R238" s="2"/>
      <c r="S238" s="1" t="str">
        <f t="shared" si="11"/>
        <v/>
      </c>
    </row>
    <row r="239" spans="1:19" x14ac:dyDescent="0.25">
      <c r="A239" s="2"/>
      <c r="F239" s="29"/>
      <c r="H239" s="1" t="str">
        <f t="shared" ca="1" si="9"/>
        <v/>
      </c>
      <c r="M239" s="2"/>
      <c r="N239" s="1" t="str">
        <f t="shared" si="10"/>
        <v/>
      </c>
      <c r="O239" s="2"/>
      <c r="P239" s="2"/>
      <c r="Q239" s="2"/>
      <c r="R239" s="2"/>
      <c r="S239" s="1" t="str">
        <f t="shared" si="11"/>
        <v/>
      </c>
    </row>
    <row r="240" spans="1:19" x14ac:dyDescent="0.25">
      <c r="A240" s="2"/>
      <c r="F240" s="29"/>
      <c r="H240" s="1" t="str">
        <f t="shared" ca="1" si="9"/>
        <v/>
      </c>
      <c r="M240" s="2"/>
      <c r="N240" s="1" t="str">
        <f t="shared" si="10"/>
        <v/>
      </c>
      <c r="O240" s="2"/>
      <c r="P240" s="2"/>
      <c r="Q240" s="2"/>
      <c r="R240" s="2"/>
      <c r="S240" s="1" t="str">
        <f t="shared" si="11"/>
        <v/>
      </c>
    </row>
    <row r="241" spans="1:19" x14ac:dyDescent="0.25">
      <c r="A241" s="2"/>
      <c r="F241" s="29"/>
      <c r="H241" s="1" t="str">
        <f t="shared" ca="1" si="9"/>
        <v/>
      </c>
      <c r="M241" s="2"/>
      <c r="N241" s="1" t="str">
        <f t="shared" si="10"/>
        <v/>
      </c>
      <c r="O241" s="2"/>
      <c r="P241" s="2"/>
      <c r="Q241" s="2"/>
      <c r="R241" s="2"/>
      <c r="S241" s="1" t="str">
        <f t="shared" si="11"/>
        <v/>
      </c>
    </row>
    <row r="242" spans="1:19" x14ac:dyDescent="0.25">
      <c r="A242" s="2"/>
      <c r="F242" s="29"/>
      <c r="H242" s="1" t="str">
        <f t="shared" ca="1" si="9"/>
        <v/>
      </c>
      <c r="M242" s="2"/>
      <c r="N242" s="1" t="str">
        <f t="shared" si="10"/>
        <v/>
      </c>
      <c r="O242" s="2"/>
      <c r="P242" s="2"/>
      <c r="Q242" s="2"/>
      <c r="R242" s="2"/>
      <c r="S242" s="1" t="str">
        <f t="shared" si="11"/>
        <v/>
      </c>
    </row>
    <row r="243" spans="1:19" x14ac:dyDescent="0.25">
      <c r="A243" s="2"/>
      <c r="F243" s="29"/>
      <c r="H243" s="1" t="str">
        <f t="shared" ca="1" si="9"/>
        <v/>
      </c>
      <c r="M243" s="2"/>
      <c r="N243" s="1" t="str">
        <f t="shared" si="10"/>
        <v/>
      </c>
      <c r="O243" s="2"/>
      <c r="P243" s="2"/>
      <c r="Q243" s="2"/>
      <c r="R243" s="2"/>
      <c r="S243" s="1" t="str">
        <f t="shared" si="11"/>
        <v/>
      </c>
    </row>
    <row r="244" spans="1:19" x14ac:dyDescent="0.25">
      <c r="A244" s="2"/>
      <c r="F244" s="29"/>
      <c r="H244" s="1" t="str">
        <f t="shared" ca="1" si="9"/>
        <v/>
      </c>
      <c r="M244" s="2"/>
      <c r="N244" s="1" t="str">
        <f t="shared" si="10"/>
        <v/>
      </c>
      <c r="O244" s="2"/>
      <c r="P244" s="2"/>
      <c r="Q244" s="2"/>
      <c r="R244" s="2"/>
      <c r="S244" s="1" t="str">
        <f t="shared" si="11"/>
        <v/>
      </c>
    </row>
    <row r="245" spans="1:19" x14ac:dyDescent="0.25">
      <c r="A245" s="2"/>
      <c r="F245" s="29"/>
      <c r="H245" s="1" t="str">
        <f t="shared" ca="1" si="9"/>
        <v/>
      </c>
      <c r="M245" s="2"/>
      <c r="N245" s="1" t="str">
        <f t="shared" si="10"/>
        <v/>
      </c>
      <c r="O245" s="2"/>
      <c r="P245" s="2"/>
      <c r="Q245" s="2"/>
      <c r="R245" s="2"/>
      <c r="S245" s="1" t="str">
        <f t="shared" si="11"/>
        <v/>
      </c>
    </row>
    <row r="246" spans="1:19" x14ac:dyDescent="0.25">
      <c r="A246" s="2"/>
      <c r="F246" s="29"/>
      <c r="H246" s="1" t="str">
        <f t="shared" ca="1" si="9"/>
        <v/>
      </c>
      <c r="M246" s="2"/>
      <c r="N246" s="1" t="str">
        <f t="shared" si="10"/>
        <v/>
      </c>
      <c r="O246" s="2"/>
      <c r="P246" s="2"/>
      <c r="Q246" s="2"/>
      <c r="R246" s="2"/>
      <c r="S246" s="1" t="str">
        <f t="shared" si="11"/>
        <v/>
      </c>
    </row>
    <row r="247" spans="1:19" x14ac:dyDescent="0.25">
      <c r="A247" s="2"/>
      <c r="F247" s="29"/>
      <c r="H247" s="1" t="str">
        <f t="shared" ca="1" si="9"/>
        <v/>
      </c>
      <c r="M247" s="2"/>
      <c r="N247" s="1" t="str">
        <f t="shared" si="10"/>
        <v/>
      </c>
      <c r="O247" s="2"/>
      <c r="P247" s="2"/>
      <c r="Q247" s="2"/>
      <c r="R247" s="2"/>
      <c r="S247" s="1" t="str">
        <f t="shared" si="11"/>
        <v/>
      </c>
    </row>
    <row r="248" spans="1:19" x14ac:dyDescent="0.25">
      <c r="A248" s="2"/>
      <c r="F248" s="29"/>
      <c r="H248" s="1" t="str">
        <f t="shared" ca="1" si="9"/>
        <v/>
      </c>
      <c r="M248" s="2"/>
      <c r="N248" s="1" t="str">
        <f t="shared" si="10"/>
        <v/>
      </c>
      <c r="O248" s="2"/>
      <c r="P248" s="2"/>
      <c r="Q248" s="2"/>
      <c r="R248" s="2"/>
      <c r="S248" s="1" t="str">
        <f t="shared" si="11"/>
        <v/>
      </c>
    </row>
    <row r="249" spans="1:19" x14ac:dyDescent="0.25">
      <c r="A249" s="2"/>
      <c r="F249" s="29"/>
      <c r="H249" s="1" t="str">
        <f t="shared" ca="1" si="9"/>
        <v/>
      </c>
      <c r="M249" s="2"/>
      <c r="N249" s="1" t="str">
        <f t="shared" si="10"/>
        <v/>
      </c>
      <c r="O249" s="2"/>
      <c r="P249" s="2"/>
      <c r="Q249" s="2"/>
      <c r="R249" s="2"/>
      <c r="S249" s="1" t="str">
        <f t="shared" si="11"/>
        <v/>
      </c>
    </row>
    <row r="250" spans="1:19" x14ac:dyDescent="0.25">
      <c r="A250" s="2"/>
      <c r="F250" s="29"/>
      <c r="H250" s="1" t="str">
        <f t="shared" ca="1" si="9"/>
        <v/>
      </c>
      <c r="M250" s="2"/>
      <c r="N250" s="1" t="str">
        <f t="shared" si="10"/>
        <v/>
      </c>
      <c r="O250" s="2"/>
      <c r="P250" s="2"/>
      <c r="Q250" s="2"/>
      <c r="R250" s="2"/>
      <c r="S250" s="1" t="str">
        <f t="shared" si="11"/>
        <v/>
      </c>
    </row>
    <row r="251" spans="1:19" x14ac:dyDescent="0.25">
      <c r="A251" s="2"/>
      <c r="F251" s="29"/>
      <c r="H251" s="1" t="str">
        <f t="shared" ca="1" si="9"/>
        <v/>
      </c>
      <c r="M251" s="2"/>
      <c r="N251" s="1" t="str">
        <f t="shared" si="10"/>
        <v/>
      </c>
      <c r="O251" s="2"/>
      <c r="P251" s="2"/>
      <c r="Q251" s="2"/>
      <c r="R251" s="2"/>
      <c r="S251" s="1" t="str">
        <f t="shared" si="11"/>
        <v/>
      </c>
    </row>
    <row r="252" spans="1:19" x14ac:dyDescent="0.25">
      <c r="A252" s="2"/>
      <c r="F252" s="29"/>
      <c r="H252" s="1" t="str">
        <f t="shared" ref="H252:H315" ca="1" si="12">IF(A252="","",IF(ISNUMBER(M252),M252-A252,TODAY()-A252))</f>
        <v/>
      </c>
      <c r="M252" s="2"/>
      <c r="N252" s="1" t="str">
        <f t="shared" ref="N252:N315" si="13">IF(M252="","",IF(ISNUMBER(M252),"Closed","Open"))</f>
        <v/>
      </c>
      <c r="O252" s="2"/>
      <c r="P252" s="2"/>
      <c r="Q252" s="2"/>
      <c r="R252" s="2"/>
      <c r="S252" s="1" t="str">
        <f t="shared" ref="S252:S315" si="14">IF(Q252="","",R252-Q252)</f>
        <v/>
      </c>
    </row>
    <row r="253" spans="1:19" x14ac:dyDescent="0.25">
      <c r="A253" s="2"/>
      <c r="F253" s="29"/>
      <c r="H253" s="1" t="str">
        <f t="shared" ca="1" si="12"/>
        <v/>
      </c>
      <c r="M253" s="2"/>
      <c r="N253" s="1" t="str">
        <f t="shared" si="13"/>
        <v/>
      </c>
      <c r="O253" s="2"/>
      <c r="P253" s="2"/>
      <c r="Q253" s="2"/>
      <c r="R253" s="2"/>
      <c r="S253" s="1" t="str">
        <f t="shared" si="14"/>
        <v/>
      </c>
    </row>
    <row r="254" spans="1:19" x14ac:dyDescent="0.25">
      <c r="A254" s="2"/>
      <c r="F254" s="29"/>
      <c r="H254" s="1" t="str">
        <f t="shared" ca="1" si="12"/>
        <v/>
      </c>
      <c r="M254" s="2"/>
      <c r="N254" s="1" t="str">
        <f t="shared" si="13"/>
        <v/>
      </c>
      <c r="O254" s="2"/>
      <c r="P254" s="2"/>
      <c r="Q254" s="2"/>
      <c r="R254" s="2"/>
      <c r="S254" s="1" t="str">
        <f t="shared" si="14"/>
        <v/>
      </c>
    </row>
    <row r="255" spans="1:19" x14ac:dyDescent="0.25">
      <c r="A255" s="2"/>
      <c r="F255" s="29"/>
      <c r="H255" s="1" t="str">
        <f t="shared" ca="1" si="12"/>
        <v/>
      </c>
      <c r="M255" s="2"/>
      <c r="N255" s="1" t="str">
        <f t="shared" si="13"/>
        <v/>
      </c>
      <c r="O255" s="2"/>
      <c r="P255" s="2"/>
      <c r="Q255" s="2"/>
      <c r="R255" s="2"/>
      <c r="S255" s="1" t="str">
        <f t="shared" si="14"/>
        <v/>
      </c>
    </row>
    <row r="256" spans="1:19" x14ac:dyDescent="0.25">
      <c r="A256" s="2"/>
      <c r="F256" s="29"/>
      <c r="H256" s="1" t="str">
        <f t="shared" ca="1" si="12"/>
        <v/>
      </c>
      <c r="M256" s="2"/>
      <c r="N256" s="1" t="str">
        <f t="shared" si="13"/>
        <v/>
      </c>
      <c r="O256" s="2"/>
      <c r="P256" s="2"/>
      <c r="Q256" s="2"/>
      <c r="R256" s="2"/>
      <c r="S256" s="1" t="str">
        <f t="shared" si="14"/>
        <v/>
      </c>
    </row>
    <row r="257" spans="1:19" x14ac:dyDescent="0.25">
      <c r="A257" s="2"/>
      <c r="F257" s="29"/>
      <c r="H257" s="1" t="str">
        <f t="shared" ca="1" si="12"/>
        <v/>
      </c>
      <c r="M257" s="2"/>
      <c r="N257" s="1" t="str">
        <f t="shared" si="13"/>
        <v/>
      </c>
      <c r="O257" s="2"/>
      <c r="P257" s="2"/>
      <c r="Q257" s="2"/>
      <c r="R257" s="2"/>
      <c r="S257" s="1" t="str">
        <f t="shared" si="14"/>
        <v/>
      </c>
    </row>
    <row r="258" spans="1:19" x14ac:dyDescent="0.25">
      <c r="A258" s="2"/>
      <c r="F258" s="29"/>
      <c r="H258" s="1" t="str">
        <f t="shared" ca="1" si="12"/>
        <v/>
      </c>
      <c r="M258" s="2"/>
      <c r="N258" s="1" t="str">
        <f t="shared" si="13"/>
        <v/>
      </c>
      <c r="O258" s="2"/>
      <c r="P258" s="2"/>
      <c r="Q258" s="2"/>
      <c r="R258" s="2"/>
      <c r="S258" s="1" t="str">
        <f t="shared" si="14"/>
        <v/>
      </c>
    </row>
    <row r="259" spans="1:19" x14ac:dyDescent="0.25">
      <c r="A259" s="2"/>
      <c r="F259" s="29"/>
      <c r="H259" s="1" t="str">
        <f t="shared" ca="1" si="12"/>
        <v/>
      </c>
      <c r="M259" s="2"/>
      <c r="N259" s="1" t="str">
        <f t="shared" si="13"/>
        <v/>
      </c>
      <c r="O259" s="2"/>
      <c r="P259" s="2"/>
      <c r="Q259" s="2"/>
      <c r="R259" s="2"/>
      <c r="S259" s="1" t="str">
        <f t="shared" si="14"/>
        <v/>
      </c>
    </row>
    <row r="260" spans="1:19" x14ac:dyDescent="0.25">
      <c r="A260" s="2"/>
      <c r="F260" s="29"/>
      <c r="H260" s="1" t="str">
        <f t="shared" ca="1" si="12"/>
        <v/>
      </c>
      <c r="M260" s="2"/>
      <c r="N260" s="1" t="str">
        <f t="shared" si="13"/>
        <v/>
      </c>
      <c r="O260" s="2"/>
      <c r="P260" s="2"/>
      <c r="Q260" s="2"/>
      <c r="R260" s="2"/>
      <c r="S260" s="1" t="str">
        <f t="shared" si="14"/>
        <v/>
      </c>
    </row>
    <row r="261" spans="1:19" x14ac:dyDescent="0.25">
      <c r="A261" s="2"/>
      <c r="F261" s="29"/>
      <c r="H261" s="1" t="str">
        <f t="shared" ca="1" si="12"/>
        <v/>
      </c>
      <c r="M261" s="2"/>
      <c r="N261" s="1" t="str">
        <f t="shared" si="13"/>
        <v/>
      </c>
      <c r="O261" s="2"/>
      <c r="P261" s="2"/>
      <c r="Q261" s="2"/>
      <c r="R261" s="2"/>
      <c r="S261" s="1" t="str">
        <f t="shared" si="14"/>
        <v/>
      </c>
    </row>
    <row r="262" spans="1:19" x14ac:dyDescent="0.25">
      <c r="A262" s="2"/>
      <c r="F262" s="29"/>
      <c r="H262" s="1" t="str">
        <f t="shared" ca="1" si="12"/>
        <v/>
      </c>
      <c r="M262" s="2"/>
      <c r="N262" s="1" t="str">
        <f t="shared" si="13"/>
        <v/>
      </c>
      <c r="O262" s="2"/>
      <c r="P262" s="2"/>
      <c r="Q262" s="2"/>
      <c r="R262" s="2"/>
      <c r="S262" s="1" t="str">
        <f t="shared" si="14"/>
        <v/>
      </c>
    </row>
    <row r="263" spans="1:19" x14ac:dyDescent="0.25">
      <c r="A263" s="2"/>
      <c r="F263" s="29"/>
      <c r="H263" s="1" t="str">
        <f t="shared" ca="1" si="12"/>
        <v/>
      </c>
      <c r="M263" s="2"/>
      <c r="N263" s="1" t="str">
        <f t="shared" si="13"/>
        <v/>
      </c>
      <c r="O263" s="2"/>
      <c r="P263" s="2"/>
      <c r="Q263" s="2"/>
      <c r="R263" s="2"/>
      <c r="S263" s="1" t="str">
        <f t="shared" si="14"/>
        <v/>
      </c>
    </row>
    <row r="264" spans="1:19" x14ac:dyDescent="0.25">
      <c r="A264" s="2"/>
      <c r="F264" s="29"/>
      <c r="H264" s="1" t="str">
        <f t="shared" ca="1" si="12"/>
        <v/>
      </c>
      <c r="M264" s="2"/>
      <c r="N264" s="1" t="str">
        <f t="shared" si="13"/>
        <v/>
      </c>
      <c r="O264" s="2"/>
      <c r="P264" s="2"/>
      <c r="Q264" s="2"/>
      <c r="R264" s="2"/>
      <c r="S264" s="1" t="str">
        <f t="shared" si="14"/>
        <v/>
      </c>
    </row>
    <row r="265" spans="1:19" x14ac:dyDescent="0.25">
      <c r="A265" s="2"/>
      <c r="F265" s="29"/>
      <c r="H265" s="1" t="str">
        <f t="shared" ca="1" si="12"/>
        <v/>
      </c>
      <c r="M265" s="2"/>
      <c r="N265" s="1" t="str">
        <f t="shared" si="13"/>
        <v/>
      </c>
      <c r="O265" s="2"/>
      <c r="P265" s="2"/>
      <c r="Q265" s="2"/>
      <c r="R265" s="2"/>
      <c r="S265" s="1" t="str">
        <f t="shared" si="14"/>
        <v/>
      </c>
    </row>
    <row r="266" spans="1:19" x14ac:dyDescent="0.25">
      <c r="A266" s="2"/>
      <c r="F266" s="29"/>
      <c r="H266" s="1" t="str">
        <f t="shared" ca="1" si="12"/>
        <v/>
      </c>
      <c r="M266" s="2"/>
      <c r="N266" s="1" t="str">
        <f t="shared" si="13"/>
        <v/>
      </c>
      <c r="O266" s="2"/>
      <c r="P266" s="2"/>
      <c r="Q266" s="2"/>
      <c r="R266" s="2"/>
      <c r="S266" s="1" t="str">
        <f t="shared" si="14"/>
        <v/>
      </c>
    </row>
    <row r="267" spans="1:19" x14ac:dyDescent="0.25">
      <c r="A267" s="2"/>
      <c r="F267" s="29"/>
      <c r="H267" s="1" t="str">
        <f t="shared" ca="1" si="12"/>
        <v/>
      </c>
      <c r="M267" s="2"/>
      <c r="N267" s="1" t="str">
        <f t="shared" si="13"/>
        <v/>
      </c>
      <c r="O267" s="2"/>
      <c r="P267" s="2"/>
      <c r="Q267" s="2"/>
      <c r="R267" s="2"/>
      <c r="S267" s="1" t="str">
        <f t="shared" si="14"/>
        <v/>
      </c>
    </row>
    <row r="268" spans="1:19" x14ac:dyDescent="0.25">
      <c r="A268" s="2"/>
      <c r="F268" s="29"/>
      <c r="H268" s="1" t="str">
        <f t="shared" ca="1" si="12"/>
        <v/>
      </c>
      <c r="M268" s="2"/>
      <c r="N268" s="1" t="str">
        <f t="shared" si="13"/>
        <v/>
      </c>
      <c r="O268" s="2"/>
      <c r="P268" s="2"/>
      <c r="Q268" s="2"/>
      <c r="R268" s="2"/>
      <c r="S268" s="1" t="str">
        <f t="shared" si="14"/>
        <v/>
      </c>
    </row>
    <row r="269" spans="1:19" x14ac:dyDescent="0.25">
      <c r="A269" s="2"/>
      <c r="F269" s="29"/>
      <c r="H269" s="1" t="str">
        <f t="shared" ca="1" si="12"/>
        <v/>
      </c>
      <c r="M269" s="2"/>
      <c r="N269" s="1" t="str">
        <f t="shared" si="13"/>
        <v/>
      </c>
      <c r="O269" s="2"/>
      <c r="P269" s="2"/>
      <c r="Q269" s="2"/>
      <c r="R269" s="2"/>
      <c r="S269" s="1" t="str">
        <f t="shared" si="14"/>
        <v/>
      </c>
    </row>
    <row r="270" spans="1:19" x14ac:dyDescent="0.25">
      <c r="A270" s="2"/>
      <c r="F270" s="29"/>
      <c r="H270" s="1" t="str">
        <f t="shared" ca="1" si="12"/>
        <v/>
      </c>
      <c r="M270" s="2"/>
      <c r="N270" s="1" t="str">
        <f t="shared" si="13"/>
        <v/>
      </c>
      <c r="O270" s="2"/>
      <c r="P270" s="2"/>
      <c r="Q270" s="2"/>
      <c r="R270" s="2"/>
      <c r="S270" s="1" t="str">
        <f t="shared" si="14"/>
        <v/>
      </c>
    </row>
    <row r="271" spans="1:19" x14ac:dyDescent="0.25">
      <c r="A271" s="2"/>
      <c r="F271" s="29"/>
      <c r="H271" s="1" t="str">
        <f t="shared" ca="1" si="12"/>
        <v/>
      </c>
      <c r="M271" s="2"/>
      <c r="N271" s="1" t="str">
        <f t="shared" si="13"/>
        <v/>
      </c>
      <c r="O271" s="2"/>
      <c r="P271" s="2"/>
      <c r="Q271" s="2"/>
      <c r="R271" s="2"/>
      <c r="S271" s="1" t="str">
        <f t="shared" si="14"/>
        <v/>
      </c>
    </row>
    <row r="272" spans="1:19" x14ac:dyDescent="0.25">
      <c r="A272" s="2"/>
      <c r="F272" s="29"/>
      <c r="H272" s="1" t="str">
        <f t="shared" ca="1" si="12"/>
        <v/>
      </c>
      <c r="M272" s="2"/>
      <c r="N272" s="1" t="str">
        <f t="shared" si="13"/>
        <v/>
      </c>
      <c r="O272" s="2"/>
      <c r="P272" s="2"/>
      <c r="Q272" s="2"/>
      <c r="R272" s="2"/>
      <c r="S272" s="1" t="str">
        <f t="shared" si="14"/>
        <v/>
      </c>
    </row>
    <row r="273" spans="1:19" x14ac:dyDescent="0.25">
      <c r="A273" s="2"/>
      <c r="F273" s="29"/>
      <c r="H273" s="1" t="str">
        <f t="shared" ca="1" si="12"/>
        <v/>
      </c>
      <c r="M273" s="2"/>
      <c r="N273" s="1" t="str">
        <f t="shared" si="13"/>
        <v/>
      </c>
      <c r="O273" s="2"/>
      <c r="P273" s="2"/>
      <c r="Q273" s="2"/>
      <c r="R273" s="2"/>
      <c r="S273" s="1" t="str">
        <f t="shared" si="14"/>
        <v/>
      </c>
    </row>
    <row r="274" spans="1:19" x14ac:dyDescent="0.25">
      <c r="A274" s="2"/>
      <c r="F274" s="29"/>
      <c r="H274" s="1" t="str">
        <f t="shared" ca="1" si="12"/>
        <v/>
      </c>
      <c r="M274" s="2"/>
      <c r="N274" s="1" t="str">
        <f t="shared" si="13"/>
        <v/>
      </c>
      <c r="O274" s="2"/>
      <c r="P274" s="2"/>
      <c r="Q274" s="2"/>
      <c r="R274" s="2"/>
      <c r="S274" s="1" t="str">
        <f t="shared" si="14"/>
        <v/>
      </c>
    </row>
    <row r="275" spans="1:19" x14ac:dyDescent="0.25">
      <c r="A275" s="2"/>
      <c r="F275" s="29"/>
      <c r="H275" s="1" t="str">
        <f t="shared" ca="1" si="12"/>
        <v/>
      </c>
      <c r="M275" s="2"/>
      <c r="N275" s="1" t="str">
        <f t="shared" si="13"/>
        <v/>
      </c>
      <c r="O275" s="2"/>
      <c r="P275" s="2"/>
      <c r="Q275" s="2"/>
      <c r="R275" s="2"/>
      <c r="S275" s="1" t="str">
        <f t="shared" si="14"/>
        <v/>
      </c>
    </row>
    <row r="276" spans="1:19" x14ac:dyDescent="0.25">
      <c r="A276" s="2"/>
      <c r="F276" s="29"/>
      <c r="H276" s="1" t="str">
        <f t="shared" ca="1" si="12"/>
        <v/>
      </c>
      <c r="M276" s="2"/>
      <c r="N276" s="1" t="str">
        <f t="shared" si="13"/>
        <v/>
      </c>
      <c r="O276" s="2"/>
      <c r="P276" s="2"/>
      <c r="Q276" s="2"/>
      <c r="R276" s="2"/>
      <c r="S276" s="1" t="str">
        <f t="shared" si="14"/>
        <v/>
      </c>
    </row>
    <row r="277" spans="1:19" x14ac:dyDescent="0.25">
      <c r="A277" s="2"/>
      <c r="F277" s="29"/>
      <c r="H277" s="1" t="str">
        <f t="shared" ca="1" si="12"/>
        <v/>
      </c>
      <c r="M277" s="2"/>
      <c r="N277" s="1" t="str">
        <f t="shared" si="13"/>
        <v/>
      </c>
      <c r="O277" s="2"/>
      <c r="P277" s="2"/>
      <c r="Q277" s="2"/>
      <c r="R277" s="2"/>
      <c r="S277" s="1" t="str">
        <f t="shared" si="14"/>
        <v/>
      </c>
    </row>
    <row r="278" spans="1:19" x14ac:dyDescent="0.25">
      <c r="A278" s="2"/>
      <c r="F278" s="29"/>
      <c r="H278" s="1" t="str">
        <f t="shared" ca="1" si="12"/>
        <v/>
      </c>
      <c r="M278" s="2"/>
      <c r="N278" s="1" t="str">
        <f t="shared" si="13"/>
        <v/>
      </c>
      <c r="O278" s="2"/>
      <c r="P278" s="2"/>
      <c r="Q278" s="2"/>
      <c r="R278" s="2"/>
      <c r="S278" s="1" t="str">
        <f t="shared" si="14"/>
        <v/>
      </c>
    </row>
    <row r="279" spans="1:19" x14ac:dyDescent="0.25">
      <c r="A279" s="2"/>
      <c r="F279" s="29"/>
      <c r="H279" s="1" t="str">
        <f t="shared" ca="1" si="12"/>
        <v/>
      </c>
      <c r="M279" s="2"/>
      <c r="N279" s="1" t="str">
        <f t="shared" si="13"/>
        <v/>
      </c>
      <c r="O279" s="2"/>
      <c r="P279" s="2"/>
      <c r="Q279" s="2"/>
      <c r="R279" s="2"/>
      <c r="S279" s="1" t="str">
        <f t="shared" si="14"/>
        <v/>
      </c>
    </row>
    <row r="280" spans="1:19" x14ac:dyDescent="0.25">
      <c r="A280" s="2"/>
      <c r="F280" s="29"/>
      <c r="H280" s="1" t="str">
        <f t="shared" ca="1" si="12"/>
        <v/>
      </c>
      <c r="M280" s="2"/>
      <c r="N280" s="1" t="str">
        <f t="shared" si="13"/>
        <v/>
      </c>
      <c r="O280" s="2"/>
      <c r="P280" s="2"/>
      <c r="Q280" s="2"/>
      <c r="R280" s="2"/>
      <c r="S280" s="1" t="str">
        <f t="shared" si="14"/>
        <v/>
      </c>
    </row>
    <row r="281" spans="1:19" x14ac:dyDescent="0.25">
      <c r="A281" s="2"/>
      <c r="F281" s="29"/>
      <c r="H281" s="1" t="str">
        <f t="shared" ca="1" si="12"/>
        <v/>
      </c>
      <c r="M281" s="2"/>
      <c r="N281" s="1" t="str">
        <f t="shared" si="13"/>
        <v/>
      </c>
      <c r="O281" s="2"/>
      <c r="P281" s="2"/>
      <c r="Q281" s="2"/>
      <c r="R281" s="2"/>
      <c r="S281" s="1" t="str">
        <f t="shared" si="14"/>
        <v/>
      </c>
    </row>
    <row r="282" spans="1:19" x14ac:dyDescent="0.25">
      <c r="A282" s="2"/>
      <c r="F282" s="29"/>
      <c r="H282" s="1" t="str">
        <f t="shared" ca="1" si="12"/>
        <v/>
      </c>
      <c r="M282" s="2"/>
      <c r="N282" s="1" t="str">
        <f t="shared" si="13"/>
        <v/>
      </c>
      <c r="O282" s="2"/>
      <c r="P282" s="2"/>
      <c r="Q282" s="2"/>
      <c r="R282" s="2"/>
      <c r="S282" s="1" t="str">
        <f t="shared" si="14"/>
        <v/>
      </c>
    </row>
    <row r="283" spans="1:19" x14ac:dyDescent="0.25">
      <c r="A283" s="2"/>
      <c r="F283" s="29"/>
      <c r="H283" s="1" t="str">
        <f t="shared" ca="1" si="12"/>
        <v/>
      </c>
      <c r="M283" s="2"/>
      <c r="N283" s="1" t="str">
        <f t="shared" si="13"/>
        <v/>
      </c>
      <c r="O283" s="2"/>
      <c r="P283" s="2"/>
      <c r="Q283" s="2"/>
      <c r="R283" s="2"/>
      <c r="S283" s="1" t="str">
        <f t="shared" si="14"/>
        <v/>
      </c>
    </row>
    <row r="284" spans="1:19" x14ac:dyDescent="0.25">
      <c r="A284" s="2"/>
      <c r="F284" s="29"/>
      <c r="H284" s="1" t="str">
        <f t="shared" ca="1" si="12"/>
        <v/>
      </c>
      <c r="M284" s="2"/>
      <c r="N284" s="1" t="str">
        <f t="shared" si="13"/>
        <v/>
      </c>
      <c r="O284" s="2"/>
      <c r="P284" s="2"/>
      <c r="Q284" s="2"/>
      <c r="R284" s="2"/>
      <c r="S284" s="1" t="str">
        <f t="shared" si="14"/>
        <v/>
      </c>
    </row>
    <row r="285" spans="1:19" x14ac:dyDescent="0.25">
      <c r="A285" s="2"/>
      <c r="F285" s="29"/>
      <c r="H285" s="1" t="str">
        <f t="shared" ca="1" si="12"/>
        <v/>
      </c>
      <c r="M285" s="2"/>
      <c r="N285" s="1" t="str">
        <f t="shared" si="13"/>
        <v/>
      </c>
      <c r="O285" s="2"/>
      <c r="P285" s="2"/>
      <c r="Q285" s="2"/>
      <c r="R285" s="2"/>
      <c r="S285" s="1" t="str">
        <f t="shared" si="14"/>
        <v/>
      </c>
    </row>
    <row r="286" spans="1:19" x14ac:dyDescent="0.25">
      <c r="A286" s="2"/>
      <c r="F286" s="29"/>
      <c r="H286" s="1" t="str">
        <f t="shared" ca="1" si="12"/>
        <v/>
      </c>
      <c r="M286" s="2"/>
      <c r="N286" s="1" t="str">
        <f t="shared" si="13"/>
        <v/>
      </c>
      <c r="O286" s="2"/>
      <c r="P286" s="2"/>
      <c r="Q286" s="2"/>
      <c r="R286" s="2"/>
      <c r="S286" s="1" t="str">
        <f t="shared" si="14"/>
        <v/>
      </c>
    </row>
    <row r="287" spans="1:19" x14ac:dyDescent="0.25">
      <c r="A287" s="2"/>
      <c r="F287" s="29"/>
      <c r="H287" s="1" t="str">
        <f t="shared" ca="1" si="12"/>
        <v/>
      </c>
      <c r="M287" s="2"/>
      <c r="N287" s="1" t="str">
        <f t="shared" si="13"/>
        <v/>
      </c>
      <c r="O287" s="2"/>
      <c r="P287" s="2"/>
      <c r="Q287" s="2"/>
      <c r="R287" s="2"/>
      <c r="S287" s="1" t="str">
        <f t="shared" si="14"/>
        <v/>
      </c>
    </row>
    <row r="288" spans="1:19" x14ac:dyDescent="0.25">
      <c r="A288" s="2"/>
      <c r="F288" s="29"/>
      <c r="H288" s="1" t="str">
        <f t="shared" ca="1" si="12"/>
        <v/>
      </c>
      <c r="M288" s="2"/>
      <c r="N288" s="1" t="str">
        <f t="shared" si="13"/>
        <v/>
      </c>
      <c r="O288" s="2"/>
      <c r="P288" s="2"/>
      <c r="Q288" s="2"/>
      <c r="R288" s="2"/>
      <c r="S288" s="1" t="str">
        <f t="shared" si="14"/>
        <v/>
      </c>
    </row>
    <row r="289" spans="1:19" x14ac:dyDescent="0.25">
      <c r="A289" s="2"/>
      <c r="F289" s="29"/>
      <c r="H289" s="1" t="str">
        <f t="shared" ca="1" si="12"/>
        <v/>
      </c>
      <c r="M289" s="2"/>
      <c r="N289" s="1" t="str">
        <f t="shared" si="13"/>
        <v/>
      </c>
      <c r="O289" s="2"/>
      <c r="P289" s="2"/>
      <c r="Q289" s="2"/>
      <c r="R289" s="2"/>
      <c r="S289" s="1" t="str">
        <f t="shared" si="14"/>
        <v/>
      </c>
    </row>
    <row r="290" spans="1:19" x14ac:dyDescent="0.25">
      <c r="A290" s="2"/>
      <c r="F290" s="29"/>
      <c r="H290" s="1" t="str">
        <f t="shared" ca="1" si="12"/>
        <v/>
      </c>
      <c r="M290" s="2"/>
      <c r="N290" s="1" t="str">
        <f t="shared" si="13"/>
        <v/>
      </c>
      <c r="O290" s="2"/>
      <c r="P290" s="2"/>
      <c r="Q290" s="2"/>
      <c r="R290" s="2"/>
      <c r="S290" s="1" t="str">
        <f t="shared" si="14"/>
        <v/>
      </c>
    </row>
    <row r="291" spans="1:19" x14ac:dyDescent="0.25">
      <c r="A291" s="2"/>
      <c r="F291" s="29"/>
      <c r="H291" s="1" t="str">
        <f t="shared" ca="1" si="12"/>
        <v/>
      </c>
      <c r="M291" s="2"/>
      <c r="N291" s="1" t="str">
        <f t="shared" si="13"/>
        <v/>
      </c>
      <c r="O291" s="2"/>
      <c r="P291" s="2"/>
      <c r="Q291" s="2"/>
      <c r="R291" s="2"/>
      <c r="S291" s="1" t="str">
        <f t="shared" si="14"/>
        <v/>
      </c>
    </row>
    <row r="292" spans="1:19" x14ac:dyDescent="0.25">
      <c r="A292" s="2"/>
      <c r="F292" s="29"/>
      <c r="H292" s="1" t="str">
        <f t="shared" ca="1" si="12"/>
        <v/>
      </c>
      <c r="M292" s="2"/>
      <c r="N292" s="1" t="str">
        <f t="shared" si="13"/>
        <v/>
      </c>
      <c r="O292" s="2"/>
      <c r="P292" s="2"/>
      <c r="Q292" s="2"/>
      <c r="R292" s="2"/>
      <c r="S292" s="1" t="str">
        <f t="shared" si="14"/>
        <v/>
      </c>
    </row>
    <row r="293" spans="1:19" x14ac:dyDescent="0.25">
      <c r="A293" s="2"/>
      <c r="F293" s="29"/>
      <c r="H293" s="1" t="str">
        <f t="shared" ca="1" si="12"/>
        <v/>
      </c>
      <c r="M293" s="2"/>
      <c r="N293" s="1" t="str">
        <f t="shared" si="13"/>
        <v/>
      </c>
      <c r="O293" s="2"/>
      <c r="P293" s="2"/>
      <c r="Q293" s="2"/>
      <c r="R293" s="2"/>
      <c r="S293" s="1" t="str">
        <f t="shared" si="14"/>
        <v/>
      </c>
    </row>
    <row r="294" spans="1:19" x14ac:dyDescent="0.25">
      <c r="A294" s="2"/>
      <c r="F294" s="29"/>
      <c r="H294" s="1" t="str">
        <f t="shared" ca="1" si="12"/>
        <v/>
      </c>
      <c r="M294" s="2"/>
      <c r="N294" s="1" t="str">
        <f t="shared" si="13"/>
        <v/>
      </c>
      <c r="O294" s="2"/>
      <c r="P294" s="2"/>
      <c r="Q294" s="2"/>
      <c r="R294" s="2"/>
      <c r="S294" s="1" t="str">
        <f t="shared" si="14"/>
        <v/>
      </c>
    </row>
    <row r="295" spans="1:19" x14ac:dyDescent="0.25">
      <c r="A295" s="2"/>
      <c r="F295" s="29"/>
      <c r="H295" s="1" t="str">
        <f t="shared" ca="1" si="12"/>
        <v/>
      </c>
      <c r="M295" s="2"/>
      <c r="N295" s="1" t="str">
        <f t="shared" si="13"/>
        <v/>
      </c>
      <c r="O295" s="2"/>
      <c r="P295" s="2"/>
      <c r="Q295" s="2"/>
      <c r="R295" s="2"/>
      <c r="S295" s="1" t="str">
        <f t="shared" si="14"/>
        <v/>
      </c>
    </row>
    <row r="296" spans="1:19" x14ac:dyDescent="0.25">
      <c r="A296" s="2"/>
      <c r="F296" s="29"/>
      <c r="H296" s="1" t="str">
        <f t="shared" ca="1" si="12"/>
        <v/>
      </c>
      <c r="M296" s="2"/>
      <c r="N296" s="1" t="str">
        <f t="shared" si="13"/>
        <v/>
      </c>
      <c r="O296" s="2"/>
      <c r="P296" s="2"/>
      <c r="Q296" s="2"/>
      <c r="R296" s="2"/>
      <c r="S296" s="1" t="str">
        <f t="shared" si="14"/>
        <v/>
      </c>
    </row>
    <row r="297" spans="1:19" x14ac:dyDescent="0.25">
      <c r="A297" s="2"/>
      <c r="F297" s="29"/>
      <c r="H297" s="1" t="str">
        <f t="shared" ca="1" si="12"/>
        <v/>
      </c>
      <c r="M297" s="2"/>
      <c r="N297" s="1" t="str">
        <f t="shared" si="13"/>
        <v/>
      </c>
      <c r="O297" s="2"/>
      <c r="P297" s="2"/>
      <c r="Q297" s="2"/>
      <c r="R297" s="2"/>
      <c r="S297" s="1" t="str">
        <f t="shared" si="14"/>
        <v/>
      </c>
    </row>
    <row r="298" spans="1:19" x14ac:dyDescent="0.25">
      <c r="A298" s="2"/>
      <c r="F298" s="29"/>
      <c r="H298" s="1" t="str">
        <f t="shared" ca="1" si="12"/>
        <v/>
      </c>
      <c r="M298" s="2"/>
      <c r="N298" s="1" t="str">
        <f t="shared" si="13"/>
        <v/>
      </c>
      <c r="O298" s="2"/>
      <c r="P298" s="2"/>
      <c r="Q298" s="2"/>
      <c r="R298" s="2"/>
      <c r="S298" s="1" t="str">
        <f t="shared" si="14"/>
        <v/>
      </c>
    </row>
    <row r="299" spans="1:19" x14ac:dyDescent="0.25">
      <c r="A299" s="2"/>
      <c r="F299" s="29"/>
      <c r="H299" s="1" t="str">
        <f t="shared" ca="1" si="12"/>
        <v/>
      </c>
      <c r="M299" s="2"/>
      <c r="N299" s="1" t="str">
        <f t="shared" si="13"/>
        <v/>
      </c>
      <c r="O299" s="2"/>
      <c r="P299" s="2"/>
      <c r="Q299" s="2"/>
      <c r="R299" s="2"/>
      <c r="S299" s="1" t="str">
        <f t="shared" si="14"/>
        <v/>
      </c>
    </row>
    <row r="300" spans="1:19" x14ac:dyDescent="0.25">
      <c r="A300" s="2"/>
      <c r="F300" s="29"/>
      <c r="H300" s="1" t="str">
        <f t="shared" ca="1" si="12"/>
        <v/>
      </c>
      <c r="M300" s="2"/>
      <c r="N300" s="1" t="str">
        <f t="shared" si="13"/>
        <v/>
      </c>
      <c r="O300" s="2"/>
      <c r="P300" s="2"/>
      <c r="Q300" s="2"/>
      <c r="R300" s="2"/>
      <c r="S300" s="1" t="str">
        <f t="shared" si="14"/>
        <v/>
      </c>
    </row>
    <row r="301" spans="1:19" x14ac:dyDescent="0.25">
      <c r="A301" s="2"/>
      <c r="F301" s="29"/>
      <c r="H301" s="1" t="str">
        <f t="shared" ca="1" si="12"/>
        <v/>
      </c>
      <c r="M301" s="2"/>
      <c r="N301" s="1" t="str">
        <f t="shared" si="13"/>
        <v/>
      </c>
      <c r="O301" s="2"/>
      <c r="P301" s="2"/>
      <c r="Q301" s="2"/>
      <c r="R301" s="2"/>
      <c r="S301" s="1" t="str">
        <f t="shared" si="14"/>
        <v/>
      </c>
    </row>
    <row r="302" spans="1:19" x14ac:dyDescent="0.25">
      <c r="A302" s="2"/>
      <c r="F302" s="29"/>
      <c r="H302" s="1" t="str">
        <f t="shared" ca="1" si="12"/>
        <v/>
      </c>
      <c r="M302" s="2"/>
      <c r="N302" s="1" t="str">
        <f t="shared" si="13"/>
        <v/>
      </c>
      <c r="O302" s="2"/>
      <c r="P302" s="2"/>
      <c r="Q302" s="2"/>
      <c r="R302" s="2"/>
      <c r="S302" s="1" t="str">
        <f t="shared" si="14"/>
        <v/>
      </c>
    </row>
    <row r="303" spans="1:19" x14ac:dyDescent="0.25">
      <c r="A303" s="2"/>
      <c r="F303" s="29"/>
      <c r="H303" s="1" t="str">
        <f t="shared" ca="1" si="12"/>
        <v/>
      </c>
      <c r="M303" s="2"/>
      <c r="N303" s="1" t="str">
        <f t="shared" si="13"/>
        <v/>
      </c>
      <c r="O303" s="2"/>
      <c r="P303" s="2"/>
      <c r="Q303" s="2"/>
      <c r="R303" s="2"/>
      <c r="S303" s="1" t="str">
        <f t="shared" si="14"/>
        <v/>
      </c>
    </row>
    <row r="304" spans="1:19" x14ac:dyDescent="0.25">
      <c r="A304" s="2"/>
      <c r="F304" s="29"/>
      <c r="H304" s="1" t="str">
        <f t="shared" ca="1" si="12"/>
        <v/>
      </c>
      <c r="M304" s="2"/>
      <c r="N304" s="1" t="str">
        <f t="shared" si="13"/>
        <v/>
      </c>
      <c r="O304" s="2"/>
      <c r="P304" s="2"/>
      <c r="Q304" s="2"/>
      <c r="R304" s="2"/>
      <c r="S304" s="1" t="str">
        <f t="shared" si="14"/>
        <v/>
      </c>
    </row>
    <row r="305" spans="1:19" x14ac:dyDescent="0.25">
      <c r="A305" s="2"/>
      <c r="F305" s="29"/>
      <c r="H305" s="1" t="str">
        <f t="shared" ca="1" si="12"/>
        <v/>
      </c>
      <c r="M305" s="2"/>
      <c r="N305" s="1" t="str">
        <f t="shared" si="13"/>
        <v/>
      </c>
      <c r="O305" s="2"/>
      <c r="P305" s="2"/>
      <c r="Q305" s="2"/>
      <c r="R305" s="2"/>
      <c r="S305" s="1" t="str">
        <f t="shared" si="14"/>
        <v/>
      </c>
    </row>
    <row r="306" spans="1:19" x14ac:dyDescent="0.25">
      <c r="A306" s="2"/>
      <c r="F306" s="29"/>
      <c r="H306" s="1" t="str">
        <f t="shared" ca="1" si="12"/>
        <v/>
      </c>
      <c r="M306" s="2"/>
      <c r="N306" s="1" t="str">
        <f t="shared" si="13"/>
        <v/>
      </c>
      <c r="O306" s="2"/>
      <c r="P306" s="2"/>
      <c r="Q306" s="2"/>
      <c r="R306" s="2"/>
      <c r="S306" s="1" t="str">
        <f t="shared" si="14"/>
        <v/>
      </c>
    </row>
    <row r="307" spans="1:19" x14ac:dyDescent="0.25">
      <c r="A307" s="2"/>
      <c r="F307" s="29"/>
      <c r="H307" s="1" t="str">
        <f t="shared" ca="1" si="12"/>
        <v/>
      </c>
      <c r="M307" s="2"/>
      <c r="N307" s="1" t="str">
        <f t="shared" si="13"/>
        <v/>
      </c>
      <c r="O307" s="2"/>
      <c r="P307" s="2"/>
      <c r="Q307" s="2"/>
      <c r="R307" s="2"/>
      <c r="S307" s="1" t="str">
        <f t="shared" si="14"/>
        <v/>
      </c>
    </row>
    <row r="308" spans="1:19" x14ac:dyDescent="0.25">
      <c r="A308" s="2"/>
      <c r="F308" s="29"/>
      <c r="H308" s="1" t="str">
        <f t="shared" ca="1" si="12"/>
        <v/>
      </c>
      <c r="M308" s="2"/>
      <c r="N308" s="1" t="str">
        <f t="shared" si="13"/>
        <v/>
      </c>
      <c r="O308" s="2"/>
      <c r="P308" s="2"/>
      <c r="Q308" s="2"/>
      <c r="R308" s="2"/>
      <c r="S308" s="1" t="str">
        <f t="shared" si="14"/>
        <v/>
      </c>
    </row>
    <row r="309" spans="1:19" x14ac:dyDescent="0.25">
      <c r="A309" s="2"/>
      <c r="F309" s="29"/>
      <c r="H309" s="1" t="str">
        <f t="shared" ca="1" si="12"/>
        <v/>
      </c>
      <c r="M309" s="2"/>
      <c r="N309" s="1" t="str">
        <f t="shared" si="13"/>
        <v/>
      </c>
      <c r="O309" s="2"/>
      <c r="P309" s="2"/>
      <c r="Q309" s="2"/>
      <c r="R309" s="2"/>
      <c r="S309" s="1" t="str">
        <f t="shared" si="14"/>
        <v/>
      </c>
    </row>
    <row r="310" spans="1:19" x14ac:dyDescent="0.25">
      <c r="A310" s="2"/>
      <c r="F310" s="29"/>
      <c r="H310" s="1" t="str">
        <f t="shared" ca="1" si="12"/>
        <v/>
      </c>
      <c r="M310" s="2"/>
      <c r="N310" s="1" t="str">
        <f t="shared" si="13"/>
        <v/>
      </c>
      <c r="O310" s="2"/>
      <c r="P310" s="2"/>
      <c r="Q310" s="2"/>
      <c r="R310" s="2"/>
      <c r="S310" s="1" t="str">
        <f t="shared" si="14"/>
        <v/>
      </c>
    </row>
    <row r="311" spans="1:19" x14ac:dyDescent="0.25">
      <c r="A311" s="2"/>
      <c r="F311" s="29"/>
      <c r="H311" s="1" t="str">
        <f t="shared" ca="1" si="12"/>
        <v/>
      </c>
      <c r="M311" s="2"/>
      <c r="N311" s="1" t="str">
        <f t="shared" si="13"/>
        <v/>
      </c>
      <c r="O311" s="2"/>
      <c r="P311" s="2"/>
      <c r="Q311" s="2"/>
      <c r="R311" s="2"/>
      <c r="S311" s="1" t="str">
        <f t="shared" si="14"/>
        <v/>
      </c>
    </row>
    <row r="312" spans="1:19" x14ac:dyDescent="0.25">
      <c r="A312" s="2"/>
      <c r="F312" s="29"/>
      <c r="H312" s="1" t="str">
        <f t="shared" ca="1" si="12"/>
        <v/>
      </c>
      <c r="M312" s="2"/>
      <c r="N312" s="1" t="str">
        <f t="shared" si="13"/>
        <v/>
      </c>
      <c r="O312" s="2"/>
      <c r="P312" s="2"/>
      <c r="Q312" s="2"/>
      <c r="R312" s="2"/>
      <c r="S312" s="1" t="str">
        <f t="shared" si="14"/>
        <v/>
      </c>
    </row>
    <row r="313" spans="1:19" x14ac:dyDescent="0.25">
      <c r="A313" s="2"/>
      <c r="F313" s="29"/>
      <c r="H313" s="1" t="str">
        <f t="shared" ca="1" si="12"/>
        <v/>
      </c>
      <c r="M313" s="2"/>
      <c r="N313" s="1" t="str">
        <f t="shared" si="13"/>
        <v/>
      </c>
      <c r="O313" s="2"/>
      <c r="P313" s="2"/>
      <c r="Q313" s="2"/>
      <c r="R313" s="2"/>
      <c r="S313" s="1" t="str">
        <f t="shared" si="14"/>
        <v/>
      </c>
    </row>
    <row r="314" spans="1:19" x14ac:dyDescent="0.25">
      <c r="A314" s="2"/>
      <c r="F314" s="29"/>
      <c r="H314" s="1" t="str">
        <f t="shared" ca="1" si="12"/>
        <v/>
      </c>
      <c r="M314" s="2"/>
      <c r="N314" s="1" t="str">
        <f t="shared" si="13"/>
        <v/>
      </c>
      <c r="O314" s="2"/>
      <c r="P314" s="2"/>
      <c r="Q314" s="2"/>
      <c r="R314" s="2"/>
      <c r="S314" s="1" t="str">
        <f t="shared" si="14"/>
        <v/>
      </c>
    </row>
    <row r="315" spans="1:19" x14ac:dyDescent="0.25">
      <c r="A315" s="2"/>
      <c r="F315" s="29"/>
      <c r="H315" s="1" t="str">
        <f t="shared" ca="1" si="12"/>
        <v/>
      </c>
      <c r="M315" s="2"/>
      <c r="N315" s="1" t="str">
        <f t="shared" si="13"/>
        <v/>
      </c>
      <c r="O315" s="2"/>
      <c r="P315" s="2"/>
      <c r="Q315" s="2"/>
      <c r="R315" s="2"/>
      <c r="S315" s="1" t="str">
        <f t="shared" si="14"/>
        <v/>
      </c>
    </row>
    <row r="316" spans="1:19" x14ac:dyDescent="0.25">
      <c r="A316" s="2"/>
      <c r="F316" s="29"/>
      <c r="H316" s="1" t="str">
        <f t="shared" ref="H316:H379" ca="1" si="15">IF(A316="","",IF(ISNUMBER(M316),M316-A316,TODAY()-A316))</f>
        <v/>
      </c>
      <c r="M316" s="2"/>
      <c r="N316" s="1" t="str">
        <f t="shared" ref="N316:N379" si="16">IF(M316="","",IF(ISNUMBER(M316),"Closed","Open"))</f>
        <v/>
      </c>
      <c r="O316" s="2"/>
      <c r="P316" s="2"/>
      <c r="Q316" s="2"/>
      <c r="R316" s="2"/>
      <c r="S316" s="1" t="str">
        <f t="shared" ref="S316:S379" si="17">IF(Q316="","",R316-Q316)</f>
        <v/>
      </c>
    </row>
    <row r="317" spans="1:19" x14ac:dyDescent="0.25">
      <c r="A317" s="2"/>
      <c r="F317" s="29"/>
      <c r="H317" s="1" t="str">
        <f t="shared" ca="1" si="15"/>
        <v/>
      </c>
      <c r="M317" s="2"/>
      <c r="N317" s="1" t="str">
        <f t="shared" si="16"/>
        <v/>
      </c>
      <c r="O317" s="2"/>
      <c r="P317" s="2"/>
      <c r="Q317" s="2"/>
      <c r="R317" s="2"/>
      <c r="S317" s="1" t="str">
        <f t="shared" si="17"/>
        <v/>
      </c>
    </row>
    <row r="318" spans="1:19" x14ac:dyDescent="0.25">
      <c r="A318" s="2"/>
      <c r="F318" s="29"/>
      <c r="H318" s="1" t="str">
        <f t="shared" ca="1" si="15"/>
        <v/>
      </c>
      <c r="M318" s="2"/>
      <c r="N318" s="1" t="str">
        <f t="shared" si="16"/>
        <v/>
      </c>
      <c r="O318" s="2"/>
      <c r="P318" s="2"/>
      <c r="Q318" s="2"/>
      <c r="R318" s="2"/>
      <c r="S318" s="1" t="str">
        <f t="shared" si="17"/>
        <v/>
      </c>
    </row>
    <row r="319" spans="1:19" x14ac:dyDescent="0.25">
      <c r="A319" s="2"/>
      <c r="F319" s="29"/>
      <c r="H319" s="1" t="str">
        <f t="shared" ca="1" si="15"/>
        <v/>
      </c>
      <c r="M319" s="2"/>
      <c r="N319" s="1" t="str">
        <f t="shared" si="16"/>
        <v/>
      </c>
      <c r="O319" s="2"/>
      <c r="P319" s="2"/>
      <c r="Q319" s="2"/>
      <c r="R319" s="2"/>
      <c r="S319" s="1" t="str">
        <f t="shared" si="17"/>
        <v/>
      </c>
    </row>
    <row r="320" spans="1:19" x14ac:dyDescent="0.25">
      <c r="A320" s="2"/>
      <c r="F320" s="29"/>
      <c r="H320" s="1" t="str">
        <f t="shared" ca="1" si="15"/>
        <v/>
      </c>
      <c r="M320" s="2"/>
      <c r="N320" s="1" t="str">
        <f t="shared" si="16"/>
        <v/>
      </c>
      <c r="O320" s="2"/>
      <c r="P320" s="2"/>
      <c r="Q320" s="2"/>
      <c r="R320" s="2"/>
      <c r="S320" s="1" t="str">
        <f t="shared" si="17"/>
        <v/>
      </c>
    </row>
    <row r="321" spans="1:19" x14ac:dyDescent="0.25">
      <c r="A321" s="2"/>
      <c r="F321" s="29"/>
      <c r="H321" s="1" t="str">
        <f t="shared" ca="1" si="15"/>
        <v/>
      </c>
      <c r="M321" s="2"/>
      <c r="N321" s="1" t="str">
        <f t="shared" si="16"/>
        <v/>
      </c>
      <c r="O321" s="2"/>
      <c r="P321" s="2"/>
      <c r="Q321" s="2"/>
      <c r="R321" s="2"/>
      <c r="S321" s="1" t="str">
        <f t="shared" si="17"/>
        <v/>
      </c>
    </row>
    <row r="322" spans="1:19" x14ac:dyDescent="0.25">
      <c r="A322" s="2"/>
      <c r="F322" s="29"/>
      <c r="H322" s="1" t="str">
        <f t="shared" ca="1" si="15"/>
        <v/>
      </c>
      <c r="M322" s="2"/>
      <c r="N322" s="1" t="str">
        <f t="shared" si="16"/>
        <v/>
      </c>
      <c r="O322" s="2"/>
      <c r="P322" s="2"/>
      <c r="Q322" s="2"/>
      <c r="R322" s="2"/>
      <c r="S322" s="1" t="str">
        <f t="shared" si="17"/>
        <v/>
      </c>
    </row>
    <row r="323" spans="1:19" x14ac:dyDescent="0.25">
      <c r="A323" s="2"/>
      <c r="F323" s="29"/>
      <c r="H323" s="1" t="str">
        <f t="shared" ca="1" si="15"/>
        <v/>
      </c>
      <c r="M323" s="2"/>
      <c r="N323" s="1" t="str">
        <f t="shared" si="16"/>
        <v/>
      </c>
      <c r="O323" s="2"/>
      <c r="P323" s="2"/>
      <c r="Q323" s="2"/>
      <c r="R323" s="2"/>
      <c r="S323" s="1" t="str">
        <f t="shared" si="17"/>
        <v/>
      </c>
    </row>
    <row r="324" spans="1:19" x14ac:dyDescent="0.25">
      <c r="A324" s="2"/>
      <c r="F324" s="29"/>
      <c r="H324" s="1" t="str">
        <f t="shared" ca="1" si="15"/>
        <v/>
      </c>
      <c r="M324" s="2"/>
      <c r="N324" s="1" t="str">
        <f t="shared" si="16"/>
        <v/>
      </c>
      <c r="O324" s="2"/>
      <c r="P324" s="2"/>
      <c r="Q324" s="2"/>
      <c r="R324" s="2"/>
      <c r="S324" s="1" t="str">
        <f t="shared" si="17"/>
        <v/>
      </c>
    </row>
    <row r="325" spans="1:19" x14ac:dyDescent="0.25">
      <c r="A325" s="2"/>
      <c r="F325" s="29"/>
      <c r="H325" s="1" t="str">
        <f t="shared" ca="1" si="15"/>
        <v/>
      </c>
      <c r="M325" s="2"/>
      <c r="N325" s="1" t="str">
        <f t="shared" si="16"/>
        <v/>
      </c>
      <c r="O325" s="2"/>
      <c r="P325" s="2"/>
      <c r="Q325" s="2"/>
      <c r="R325" s="2"/>
      <c r="S325" s="1" t="str">
        <f t="shared" si="17"/>
        <v/>
      </c>
    </row>
    <row r="326" spans="1:19" x14ac:dyDescent="0.25">
      <c r="A326" s="2"/>
      <c r="F326" s="29"/>
      <c r="H326" s="1" t="str">
        <f t="shared" ca="1" si="15"/>
        <v/>
      </c>
      <c r="M326" s="2"/>
      <c r="N326" s="1" t="str">
        <f t="shared" si="16"/>
        <v/>
      </c>
      <c r="O326" s="2"/>
      <c r="P326" s="2"/>
      <c r="Q326" s="2"/>
      <c r="R326" s="2"/>
      <c r="S326" s="1" t="str">
        <f t="shared" si="17"/>
        <v/>
      </c>
    </row>
    <row r="327" spans="1:19" x14ac:dyDescent="0.25">
      <c r="A327" s="2"/>
      <c r="F327" s="29"/>
      <c r="H327" s="1" t="str">
        <f t="shared" ca="1" si="15"/>
        <v/>
      </c>
      <c r="M327" s="2"/>
      <c r="N327" s="1" t="str">
        <f t="shared" si="16"/>
        <v/>
      </c>
      <c r="O327" s="2"/>
      <c r="P327" s="2"/>
      <c r="Q327" s="2"/>
      <c r="R327" s="2"/>
      <c r="S327" s="1" t="str">
        <f t="shared" si="17"/>
        <v/>
      </c>
    </row>
    <row r="328" spans="1:19" x14ac:dyDescent="0.25">
      <c r="A328" s="2"/>
      <c r="F328" s="29"/>
      <c r="H328" s="1" t="str">
        <f t="shared" ca="1" si="15"/>
        <v/>
      </c>
      <c r="M328" s="2"/>
      <c r="N328" s="1" t="str">
        <f t="shared" si="16"/>
        <v/>
      </c>
      <c r="O328" s="2"/>
      <c r="P328" s="2"/>
      <c r="Q328" s="2"/>
      <c r="R328" s="2"/>
      <c r="S328" s="1" t="str">
        <f t="shared" si="17"/>
        <v/>
      </c>
    </row>
    <row r="329" spans="1:19" x14ac:dyDescent="0.25">
      <c r="A329" s="2"/>
      <c r="F329" s="29"/>
      <c r="H329" s="1" t="str">
        <f t="shared" ca="1" si="15"/>
        <v/>
      </c>
      <c r="M329" s="2"/>
      <c r="N329" s="1" t="str">
        <f t="shared" si="16"/>
        <v/>
      </c>
      <c r="O329" s="2"/>
      <c r="P329" s="2"/>
      <c r="Q329" s="2"/>
      <c r="R329" s="2"/>
      <c r="S329" s="1" t="str">
        <f t="shared" si="17"/>
        <v/>
      </c>
    </row>
    <row r="330" spans="1:19" x14ac:dyDescent="0.25">
      <c r="A330" s="2"/>
      <c r="F330" s="29"/>
      <c r="H330" s="1" t="str">
        <f t="shared" ca="1" si="15"/>
        <v/>
      </c>
      <c r="M330" s="2"/>
      <c r="N330" s="1" t="str">
        <f t="shared" si="16"/>
        <v/>
      </c>
      <c r="O330" s="2"/>
      <c r="P330" s="2"/>
      <c r="Q330" s="2"/>
      <c r="R330" s="2"/>
      <c r="S330" s="1" t="str">
        <f t="shared" si="17"/>
        <v/>
      </c>
    </row>
    <row r="331" spans="1:19" x14ac:dyDescent="0.25">
      <c r="A331" s="2"/>
      <c r="F331" s="29"/>
      <c r="H331" s="1" t="str">
        <f t="shared" ca="1" si="15"/>
        <v/>
      </c>
      <c r="M331" s="2"/>
      <c r="N331" s="1" t="str">
        <f t="shared" si="16"/>
        <v/>
      </c>
      <c r="O331" s="2"/>
      <c r="P331" s="2"/>
      <c r="Q331" s="2"/>
      <c r="R331" s="2"/>
      <c r="S331" s="1" t="str">
        <f t="shared" si="17"/>
        <v/>
      </c>
    </row>
    <row r="332" spans="1:19" x14ac:dyDescent="0.25">
      <c r="A332" s="2"/>
      <c r="F332" s="29"/>
      <c r="H332" s="1" t="str">
        <f t="shared" ca="1" si="15"/>
        <v/>
      </c>
      <c r="M332" s="2"/>
      <c r="N332" s="1" t="str">
        <f t="shared" si="16"/>
        <v/>
      </c>
      <c r="O332" s="2"/>
      <c r="P332" s="2"/>
      <c r="Q332" s="2"/>
      <c r="R332" s="2"/>
      <c r="S332" s="1" t="str">
        <f t="shared" si="17"/>
        <v/>
      </c>
    </row>
    <row r="333" spans="1:19" x14ac:dyDescent="0.25">
      <c r="A333" s="2"/>
      <c r="F333" s="29"/>
      <c r="H333" s="1" t="str">
        <f t="shared" ca="1" si="15"/>
        <v/>
      </c>
      <c r="M333" s="2"/>
      <c r="N333" s="1" t="str">
        <f t="shared" si="16"/>
        <v/>
      </c>
      <c r="O333" s="2"/>
      <c r="P333" s="2"/>
      <c r="Q333" s="2"/>
      <c r="R333" s="2"/>
      <c r="S333" s="1" t="str">
        <f t="shared" si="17"/>
        <v/>
      </c>
    </row>
    <row r="334" spans="1:19" x14ac:dyDescent="0.25">
      <c r="A334" s="2"/>
      <c r="F334" s="29"/>
      <c r="H334" s="1" t="str">
        <f t="shared" ca="1" si="15"/>
        <v/>
      </c>
      <c r="M334" s="2"/>
      <c r="N334" s="1" t="str">
        <f t="shared" si="16"/>
        <v/>
      </c>
      <c r="O334" s="2"/>
      <c r="P334" s="2"/>
      <c r="Q334" s="2"/>
      <c r="R334" s="2"/>
      <c r="S334" s="1" t="str">
        <f t="shared" si="17"/>
        <v/>
      </c>
    </row>
    <row r="335" spans="1:19" x14ac:dyDescent="0.25">
      <c r="A335" s="2"/>
      <c r="F335" s="29"/>
      <c r="H335" s="1" t="str">
        <f t="shared" ca="1" si="15"/>
        <v/>
      </c>
      <c r="M335" s="2"/>
      <c r="N335" s="1" t="str">
        <f t="shared" si="16"/>
        <v/>
      </c>
      <c r="O335" s="2"/>
      <c r="P335" s="2"/>
      <c r="Q335" s="2"/>
      <c r="R335" s="2"/>
      <c r="S335" s="1" t="str">
        <f t="shared" si="17"/>
        <v/>
      </c>
    </row>
    <row r="336" spans="1:19" x14ac:dyDescent="0.25">
      <c r="A336" s="2"/>
      <c r="F336" s="29"/>
      <c r="H336" s="1" t="str">
        <f t="shared" ca="1" si="15"/>
        <v/>
      </c>
      <c r="M336" s="2"/>
      <c r="N336" s="1" t="str">
        <f t="shared" si="16"/>
        <v/>
      </c>
      <c r="O336" s="2"/>
      <c r="P336" s="2"/>
      <c r="Q336" s="2"/>
      <c r="R336" s="2"/>
      <c r="S336" s="1" t="str">
        <f t="shared" si="17"/>
        <v/>
      </c>
    </row>
    <row r="337" spans="1:19" x14ac:dyDescent="0.25">
      <c r="A337" s="2"/>
      <c r="F337" s="29"/>
      <c r="H337" s="1" t="str">
        <f t="shared" ca="1" si="15"/>
        <v/>
      </c>
      <c r="M337" s="2"/>
      <c r="N337" s="1" t="str">
        <f t="shared" si="16"/>
        <v/>
      </c>
      <c r="O337" s="2"/>
      <c r="P337" s="2"/>
      <c r="Q337" s="2"/>
      <c r="R337" s="2"/>
      <c r="S337" s="1" t="str">
        <f t="shared" si="17"/>
        <v/>
      </c>
    </row>
    <row r="338" spans="1:19" x14ac:dyDescent="0.25">
      <c r="A338" s="2"/>
      <c r="F338" s="29"/>
      <c r="H338" s="1" t="str">
        <f t="shared" ca="1" si="15"/>
        <v/>
      </c>
      <c r="M338" s="2"/>
      <c r="N338" s="1" t="str">
        <f t="shared" si="16"/>
        <v/>
      </c>
      <c r="O338" s="2"/>
      <c r="P338" s="2"/>
      <c r="Q338" s="2"/>
      <c r="R338" s="2"/>
      <c r="S338" s="1" t="str">
        <f t="shared" si="17"/>
        <v/>
      </c>
    </row>
    <row r="339" spans="1:19" x14ac:dyDescent="0.25">
      <c r="A339" s="2"/>
      <c r="F339" s="29"/>
      <c r="H339" s="1" t="str">
        <f t="shared" ca="1" si="15"/>
        <v/>
      </c>
      <c r="M339" s="2"/>
      <c r="N339" s="1" t="str">
        <f t="shared" si="16"/>
        <v/>
      </c>
      <c r="O339" s="2"/>
      <c r="P339" s="2"/>
      <c r="Q339" s="2"/>
      <c r="R339" s="2"/>
      <c r="S339" s="1" t="str">
        <f t="shared" si="17"/>
        <v/>
      </c>
    </row>
    <row r="340" spans="1:19" x14ac:dyDescent="0.25">
      <c r="A340" s="2"/>
      <c r="F340" s="29"/>
      <c r="H340" s="1" t="str">
        <f t="shared" ca="1" si="15"/>
        <v/>
      </c>
      <c r="M340" s="2"/>
      <c r="N340" s="1" t="str">
        <f t="shared" si="16"/>
        <v/>
      </c>
      <c r="O340" s="2"/>
      <c r="P340" s="2"/>
      <c r="Q340" s="2"/>
      <c r="R340" s="2"/>
      <c r="S340" s="1" t="str">
        <f t="shared" si="17"/>
        <v/>
      </c>
    </row>
    <row r="341" spans="1:19" x14ac:dyDescent="0.25">
      <c r="A341" s="2"/>
      <c r="F341" s="29"/>
      <c r="H341" s="1" t="str">
        <f t="shared" ca="1" si="15"/>
        <v/>
      </c>
      <c r="M341" s="2"/>
      <c r="N341" s="1" t="str">
        <f t="shared" si="16"/>
        <v/>
      </c>
      <c r="O341" s="2"/>
      <c r="P341" s="2"/>
      <c r="Q341" s="2"/>
      <c r="R341" s="2"/>
      <c r="S341" s="1" t="str">
        <f t="shared" si="17"/>
        <v/>
      </c>
    </row>
    <row r="342" spans="1:19" x14ac:dyDescent="0.25">
      <c r="A342" s="2"/>
      <c r="F342" s="29"/>
      <c r="H342" s="1" t="str">
        <f t="shared" ca="1" si="15"/>
        <v/>
      </c>
      <c r="M342" s="2"/>
      <c r="N342" s="1" t="str">
        <f t="shared" si="16"/>
        <v/>
      </c>
      <c r="O342" s="2"/>
      <c r="P342" s="2"/>
      <c r="Q342" s="2"/>
      <c r="R342" s="2"/>
      <c r="S342" s="1" t="str">
        <f t="shared" si="17"/>
        <v/>
      </c>
    </row>
    <row r="343" spans="1:19" x14ac:dyDescent="0.25">
      <c r="A343" s="2"/>
      <c r="F343" s="29"/>
      <c r="H343" s="1" t="str">
        <f t="shared" ca="1" si="15"/>
        <v/>
      </c>
      <c r="M343" s="2"/>
      <c r="N343" s="1" t="str">
        <f t="shared" si="16"/>
        <v/>
      </c>
      <c r="O343" s="2"/>
      <c r="P343" s="2"/>
      <c r="Q343" s="2"/>
      <c r="R343" s="2"/>
      <c r="S343" s="1" t="str">
        <f t="shared" si="17"/>
        <v/>
      </c>
    </row>
    <row r="344" spans="1:19" x14ac:dyDescent="0.25">
      <c r="A344" s="2"/>
      <c r="F344" s="29"/>
      <c r="H344" s="1" t="str">
        <f t="shared" ca="1" si="15"/>
        <v/>
      </c>
      <c r="M344" s="2"/>
      <c r="N344" s="1" t="str">
        <f t="shared" si="16"/>
        <v/>
      </c>
      <c r="O344" s="2"/>
      <c r="P344" s="2"/>
      <c r="Q344" s="2"/>
      <c r="R344" s="2"/>
      <c r="S344" s="1" t="str">
        <f t="shared" si="17"/>
        <v/>
      </c>
    </row>
    <row r="345" spans="1:19" x14ac:dyDescent="0.25">
      <c r="A345" s="2"/>
      <c r="F345" s="29"/>
      <c r="H345" s="1" t="str">
        <f t="shared" ca="1" si="15"/>
        <v/>
      </c>
      <c r="M345" s="2"/>
      <c r="N345" s="1" t="str">
        <f t="shared" si="16"/>
        <v/>
      </c>
      <c r="O345" s="2"/>
      <c r="P345" s="2"/>
      <c r="Q345" s="2"/>
      <c r="R345" s="2"/>
      <c r="S345" s="1" t="str">
        <f t="shared" si="17"/>
        <v/>
      </c>
    </row>
    <row r="346" spans="1:19" x14ac:dyDescent="0.25">
      <c r="A346" s="2"/>
      <c r="F346" s="29"/>
      <c r="H346" s="1" t="str">
        <f t="shared" ca="1" si="15"/>
        <v/>
      </c>
      <c r="M346" s="2"/>
      <c r="N346" s="1" t="str">
        <f t="shared" si="16"/>
        <v/>
      </c>
      <c r="O346" s="2"/>
      <c r="P346" s="2"/>
      <c r="Q346" s="2"/>
      <c r="R346" s="2"/>
      <c r="S346" s="1" t="str">
        <f t="shared" si="17"/>
        <v/>
      </c>
    </row>
    <row r="347" spans="1:19" x14ac:dyDescent="0.25">
      <c r="A347" s="2"/>
      <c r="F347" s="29"/>
      <c r="H347" s="1" t="str">
        <f t="shared" ca="1" si="15"/>
        <v/>
      </c>
      <c r="M347" s="2"/>
      <c r="N347" s="1" t="str">
        <f t="shared" si="16"/>
        <v/>
      </c>
      <c r="O347" s="2"/>
      <c r="P347" s="2"/>
      <c r="Q347" s="2"/>
      <c r="R347" s="2"/>
      <c r="S347" s="1" t="str">
        <f t="shared" si="17"/>
        <v/>
      </c>
    </row>
    <row r="348" spans="1:19" x14ac:dyDescent="0.25">
      <c r="A348" s="2"/>
      <c r="F348" s="29"/>
      <c r="H348" s="1" t="str">
        <f t="shared" ca="1" si="15"/>
        <v/>
      </c>
      <c r="M348" s="2"/>
      <c r="N348" s="1" t="str">
        <f t="shared" si="16"/>
        <v/>
      </c>
      <c r="O348" s="2"/>
      <c r="P348" s="2"/>
      <c r="Q348" s="2"/>
      <c r="R348" s="2"/>
      <c r="S348" s="1" t="str">
        <f t="shared" si="17"/>
        <v/>
      </c>
    </row>
    <row r="349" spans="1:19" x14ac:dyDescent="0.25">
      <c r="A349" s="2"/>
      <c r="F349" s="29"/>
      <c r="H349" s="1" t="str">
        <f t="shared" ca="1" si="15"/>
        <v/>
      </c>
      <c r="M349" s="2"/>
      <c r="N349" s="1" t="str">
        <f t="shared" si="16"/>
        <v/>
      </c>
      <c r="O349" s="2"/>
      <c r="P349" s="2"/>
      <c r="Q349" s="2"/>
      <c r="R349" s="2"/>
      <c r="S349" s="1" t="str">
        <f t="shared" si="17"/>
        <v/>
      </c>
    </row>
    <row r="350" spans="1:19" x14ac:dyDescent="0.25">
      <c r="A350" s="2"/>
      <c r="F350" s="29"/>
      <c r="H350" s="1" t="str">
        <f t="shared" ca="1" si="15"/>
        <v/>
      </c>
      <c r="M350" s="2"/>
      <c r="N350" s="1" t="str">
        <f t="shared" si="16"/>
        <v/>
      </c>
      <c r="O350" s="2"/>
      <c r="P350" s="2"/>
      <c r="Q350" s="2"/>
      <c r="R350" s="2"/>
      <c r="S350" s="1" t="str">
        <f t="shared" si="17"/>
        <v/>
      </c>
    </row>
    <row r="351" spans="1:19" x14ac:dyDescent="0.25">
      <c r="A351" s="2"/>
      <c r="F351" s="29"/>
      <c r="H351" s="1" t="str">
        <f t="shared" ca="1" si="15"/>
        <v/>
      </c>
      <c r="M351" s="2"/>
      <c r="N351" s="1" t="str">
        <f t="shared" si="16"/>
        <v/>
      </c>
      <c r="O351" s="2"/>
      <c r="P351" s="2"/>
      <c r="Q351" s="2"/>
      <c r="R351" s="2"/>
      <c r="S351" s="1" t="str">
        <f t="shared" si="17"/>
        <v/>
      </c>
    </row>
    <row r="352" spans="1:19" x14ac:dyDescent="0.25">
      <c r="A352" s="2"/>
      <c r="F352" s="29"/>
      <c r="H352" s="1" t="str">
        <f t="shared" ca="1" si="15"/>
        <v/>
      </c>
      <c r="M352" s="2"/>
      <c r="N352" s="1" t="str">
        <f t="shared" si="16"/>
        <v/>
      </c>
      <c r="O352" s="2"/>
      <c r="P352" s="2"/>
      <c r="Q352" s="2"/>
      <c r="R352" s="2"/>
      <c r="S352" s="1" t="str">
        <f t="shared" si="17"/>
        <v/>
      </c>
    </row>
    <row r="353" spans="1:19" x14ac:dyDescent="0.25">
      <c r="A353" s="2"/>
      <c r="F353" s="29"/>
      <c r="H353" s="1" t="str">
        <f t="shared" ca="1" si="15"/>
        <v/>
      </c>
      <c r="M353" s="2"/>
      <c r="N353" s="1" t="str">
        <f t="shared" si="16"/>
        <v/>
      </c>
      <c r="O353" s="2"/>
      <c r="P353" s="2"/>
      <c r="Q353" s="2"/>
      <c r="R353" s="2"/>
      <c r="S353" s="1" t="str">
        <f t="shared" si="17"/>
        <v/>
      </c>
    </row>
    <row r="354" spans="1:19" x14ac:dyDescent="0.25">
      <c r="A354" s="2"/>
      <c r="F354" s="29"/>
      <c r="H354" s="1" t="str">
        <f t="shared" ca="1" si="15"/>
        <v/>
      </c>
      <c r="M354" s="2"/>
      <c r="N354" s="1" t="str">
        <f t="shared" si="16"/>
        <v/>
      </c>
      <c r="O354" s="2"/>
      <c r="P354" s="2"/>
      <c r="Q354" s="2"/>
      <c r="R354" s="2"/>
      <c r="S354" s="1" t="str">
        <f t="shared" si="17"/>
        <v/>
      </c>
    </row>
    <row r="355" spans="1:19" x14ac:dyDescent="0.25">
      <c r="A355" s="2"/>
      <c r="F355" s="29"/>
      <c r="H355" s="1" t="str">
        <f t="shared" ca="1" si="15"/>
        <v/>
      </c>
      <c r="M355" s="2"/>
      <c r="N355" s="1" t="str">
        <f t="shared" si="16"/>
        <v/>
      </c>
      <c r="O355" s="2"/>
      <c r="P355" s="2"/>
      <c r="Q355" s="2"/>
      <c r="R355" s="2"/>
      <c r="S355" s="1" t="str">
        <f t="shared" si="17"/>
        <v/>
      </c>
    </row>
    <row r="356" spans="1:19" x14ac:dyDescent="0.25">
      <c r="A356" s="2"/>
      <c r="F356" s="29"/>
      <c r="H356" s="1" t="str">
        <f t="shared" ca="1" si="15"/>
        <v/>
      </c>
      <c r="M356" s="2"/>
      <c r="N356" s="1" t="str">
        <f t="shared" si="16"/>
        <v/>
      </c>
      <c r="O356" s="2"/>
      <c r="P356" s="2"/>
      <c r="Q356" s="2"/>
      <c r="R356" s="2"/>
      <c r="S356" s="1" t="str">
        <f t="shared" si="17"/>
        <v/>
      </c>
    </row>
    <row r="357" spans="1:19" x14ac:dyDescent="0.25">
      <c r="A357" s="2"/>
      <c r="F357" s="29"/>
      <c r="H357" s="1" t="str">
        <f t="shared" ca="1" si="15"/>
        <v/>
      </c>
      <c r="M357" s="2"/>
      <c r="N357" s="1" t="str">
        <f t="shared" si="16"/>
        <v/>
      </c>
      <c r="O357" s="2"/>
      <c r="P357" s="2"/>
      <c r="Q357" s="2"/>
      <c r="R357" s="2"/>
      <c r="S357" s="1" t="str">
        <f t="shared" si="17"/>
        <v/>
      </c>
    </row>
    <row r="358" spans="1:19" x14ac:dyDescent="0.25">
      <c r="A358" s="2"/>
      <c r="F358" s="29"/>
      <c r="H358" s="1" t="str">
        <f t="shared" ca="1" si="15"/>
        <v/>
      </c>
      <c r="M358" s="2"/>
      <c r="N358" s="1" t="str">
        <f t="shared" si="16"/>
        <v/>
      </c>
      <c r="O358" s="2"/>
      <c r="P358" s="2"/>
      <c r="Q358" s="2"/>
      <c r="R358" s="2"/>
      <c r="S358" s="1" t="str">
        <f t="shared" si="17"/>
        <v/>
      </c>
    </row>
    <row r="359" spans="1:19" x14ac:dyDescent="0.25">
      <c r="A359" s="2"/>
      <c r="F359" s="29"/>
      <c r="H359" s="1" t="str">
        <f t="shared" ca="1" si="15"/>
        <v/>
      </c>
      <c r="M359" s="2"/>
      <c r="N359" s="1" t="str">
        <f t="shared" si="16"/>
        <v/>
      </c>
      <c r="O359" s="2"/>
      <c r="P359" s="2"/>
      <c r="Q359" s="2"/>
      <c r="R359" s="2"/>
      <c r="S359" s="1" t="str">
        <f t="shared" si="17"/>
        <v/>
      </c>
    </row>
    <row r="360" spans="1:19" x14ac:dyDescent="0.25">
      <c r="A360" s="2"/>
      <c r="F360" s="29"/>
      <c r="H360" s="1" t="str">
        <f t="shared" ca="1" si="15"/>
        <v/>
      </c>
      <c r="M360" s="2"/>
      <c r="N360" s="1" t="str">
        <f t="shared" si="16"/>
        <v/>
      </c>
      <c r="O360" s="2"/>
      <c r="P360" s="2"/>
      <c r="Q360" s="2"/>
      <c r="R360" s="2"/>
      <c r="S360" s="1" t="str">
        <f t="shared" si="17"/>
        <v/>
      </c>
    </row>
    <row r="361" spans="1:19" x14ac:dyDescent="0.25">
      <c r="A361" s="2"/>
      <c r="F361" s="29"/>
      <c r="H361" s="1" t="str">
        <f t="shared" ca="1" si="15"/>
        <v/>
      </c>
      <c r="M361" s="2"/>
      <c r="N361" s="1" t="str">
        <f t="shared" si="16"/>
        <v/>
      </c>
      <c r="O361" s="2"/>
      <c r="P361" s="2"/>
      <c r="Q361" s="2"/>
      <c r="R361" s="2"/>
      <c r="S361" s="1" t="str">
        <f t="shared" si="17"/>
        <v/>
      </c>
    </row>
    <row r="362" spans="1:19" x14ac:dyDescent="0.25">
      <c r="A362" s="2"/>
      <c r="F362" s="29"/>
      <c r="H362" s="1" t="str">
        <f t="shared" ca="1" si="15"/>
        <v/>
      </c>
      <c r="M362" s="2"/>
      <c r="N362" s="1" t="str">
        <f t="shared" si="16"/>
        <v/>
      </c>
      <c r="O362" s="2"/>
      <c r="P362" s="2"/>
      <c r="Q362" s="2"/>
      <c r="R362" s="2"/>
      <c r="S362" s="1" t="str">
        <f t="shared" si="17"/>
        <v/>
      </c>
    </row>
    <row r="363" spans="1:19" x14ac:dyDescent="0.25">
      <c r="A363" s="2"/>
      <c r="F363" s="29"/>
      <c r="H363" s="1" t="str">
        <f t="shared" ca="1" si="15"/>
        <v/>
      </c>
      <c r="M363" s="2"/>
      <c r="N363" s="1" t="str">
        <f t="shared" si="16"/>
        <v/>
      </c>
      <c r="O363" s="2"/>
      <c r="P363" s="2"/>
      <c r="Q363" s="2"/>
      <c r="R363" s="2"/>
      <c r="S363" s="1" t="str">
        <f t="shared" si="17"/>
        <v/>
      </c>
    </row>
    <row r="364" spans="1:19" x14ac:dyDescent="0.25">
      <c r="A364" s="2"/>
      <c r="F364" s="29"/>
      <c r="H364" s="1" t="str">
        <f t="shared" ca="1" si="15"/>
        <v/>
      </c>
      <c r="M364" s="2"/>
      <c r="N364" s="1" t="str">
        <f t="shared" si="16"/>
        <v/>
      </c>
      <c r="O364" s="2"/>
      <c r="P364" s="2"/>
      <c r="Q364" s="2"/>
      <c r="R364" s="2"/>
      <c r="S364" s="1" t="str">
        <f t="shared" si="17"/>
        <v/>
      </c>
    </row>
    <row r="365" spans="1:19" x14ac:dyDescent="0.25">
      <c r="A365" s="2"/>
      <c r="F365" s="29"/>
      <c r="H365" s="1" t="str">
        <f t="shared" ca="1" si="15"/>
        <v/>
      </c>
      <c r="M365" s="2"/>
      <c r="N365" s="1" t="str">
        <f t="shared" si="16"/>
        <v/>
      </c>
      <c r="O365" s="2"/>
      <c r="P365" s="2"/>
      <c r="Q365" s="2"/>
      <c r="R365" s="2"/>
      <c r="S365" s="1" t="str">
        <f t="shared" si="17"/>
        <v/>
      </c>
    </row>
    <row r="366" spans="1:19" x14ac:dyDescent="0.25">
      <c r="A366" s="2"/>
      <c r="F366" s="29"/>
      <c r="H366" s="1" t="str">
        <f t="shared" ca="1" si="15"/>
        <v/>
      </c>
      <c r="M366" s="2"/>
      <c r="N366" s="1" t="str">
        <f t="shared" si="16"/>
        <v/>
      </c>
      <c r="O366" s="2"/>
      <c r="P366" s="2"/>
      <c r="Q366" s="2"/>
      <c r="R366" s="2"/>
      <c r="S366" s="1" t="str">
        <f t="shared" si="17"/>
        <v/>
      </c>
    </row>
    <row r="367" spans="1:19" x14ac:dyDescent="0.25">
      <c r="A367" s="2"/>
      <c r="F367" s="29"/>
      <c r="H367" s="1" t="str">
        <f t="shared" ca="1" si="15"/>
        <v/>
      </c>
      <c r="M367" s="2"/>
      <c r="N367" s="1" t="str">
        <f t="shared" si="16"/>
        <v/>
      </c>
      <c r="O367" s="2"/>
      <c r="P367" s="2"/>
      <c r="Q367" s="2"/>
      <c r="R367" s="2"/>
      <c r="S367" s="1" t="str">
        <f t="shared" si="17"/>
        <v/>
      </c>
    </row>
    <row r="368" spans="1:19" x14ac:dyDescent="0.25">
      <c r="A368" s="2"/>
      <c r="F368" s="29"/>
      <c r="H368" s="1" t="str">
        <f t="shared" ca="1" si="15"/>
        <v/>
      </c>
      <c r="M368" s="2"/>
      <c r="N368" s="1" t="str">
        <f t="shared" si="16"/>
        <v/>
      </c>
      <c r="O368" s="2"/>
      <c r="P368" s="2"/>
      <c r="Q368" s="2"/>
      <c r="R368" s="2"/>
      <c r="S368" s="1" t="str">
        <f t="shared" si="17"/>
        <v/>
      </c>
    </row>
    <row r="369" spans="1:19" x14ac:dyDescent="0.25">
      <c r="A369" s="2"/>
      <c r="F369" s="29"/>
      <c r="H369" s="1" t="str">
        <f t="shared" ca="1" si="15"/>
        <v/>
      </c>
      <c r="M369" s="2"/>
      <c r="N369" s="1" t="str">
        <f t="shared" si="16"/>
        <v/>
      </c>
      <c r="O369" s="2"/>
      <c r="P369" s="2"/>
      <c r="Q369" s="2"/>
      <c r="R369" s="2"/>
      <c r="S369" s="1" t="str">
        <f t="shared" si="17"/>
        <v/>
      </c>
    </row>
    <row r="370" spans="1:19" x14ac:dyDescent="0.25">
      <c r="A370" s="2"/>
      <c r="F370" s="29"/>
      <c r="H370" s="1" t="str">
        <f t="shared" ca="1" si="15"/>
        <v/>
      </c>
      <c r="M370" s="2"/>
      <c r="N370" s="1" t="str">
        <f t="shared" si="16"/>
        <v/>
      </c>
      <c r="O370" s="2"/>
      <c r="P370" s="2"/>
      <c r="Q370" s="2"/>
      <c r="R370" s="2"/>
      <c r="S370" s="1" t="str">
        <f t="shared" si="17"/>
        <v/>
      </c>
    </row>
    <row r="371" spans="1:19" x14ac:dyDescent="0.25">
      <c r="A371" s="2"/>
      <c r="F371" s="29"/>
      <c r="H371" s="1" t="str">
        <f t="shared" ca="1" si="15"/>
        <v/>
      </c>
      <c r="M371" s="2"/>
      <c r="N371" s="1" t="str">
        <f t="shared" si="16"/>
        <v/>
      </c>
      <c r="O371" s="2"/>
      <c r="P371" s="2"/>
      <c r="Q371" s="2"/>
      <c r="R371" s="2"/>
      <c r="S371" s="1" t="str">
        <f t="shared" si="17"/>
        <v/>
      </c>
    </row>
    <row r="372" spans="1:19" x14ac:dyDescent="0.25">
      <c r="A372" s="2"/>
      <c r="F372" s="29"/>
      <c r="H372" s="1" t="str">
        <f t="shared" ca="1" si="15"/>
        <v/>
      </c>
      <c r="M372" s="2"/>
      <c r="N372" s="1" t="str">
        <f t="shared" si="16"/>
        <v/>
      </c>
      <c r="O372" s="2"/>
      <c r="P372" s="2"/>
      <c r="Q372" s="2"/>
      <c r="R372" s="2"/>
      <c r="S372" s="1" t="str">
        <f t="shared" si="17"/>
        <v/>
      </c>
    </row>
    <row r="373" spans="1:19" x14ac:dyDescent="0.25">
      <c r="A373" s="2"/>
      <c r="F373" s="29"/>
      <c r="H373" s="1" t="str">
        <f t="shared" ca="1" si="15"/>
        <v/>
      </c>
      <c r="M373" s="2"/>
      <c r="N373" s="1" t="str">
        <f t="shared" si="16"/>
        <v/>
      </c>
      <c r="O373" s="2"/>
      <c r="P373" s="2"/>
      <c r="Q373" s="2"/>
      <c r="R373" s="2"/>
      <c r="S373" s="1" t="str">
        <f t="shared" si="17"/>
        <v/>
      </c>
    </row>
    <row r="374" spans="1:19" x14ac:dyDescent="0.25">
      <c r="A374" s="2"/>
      <c r="F374" s="29"/>
      <c r="H374" s="1" t="str">
        <f t="shared" ca="1" si="15"/>
        <v/>
      </c>
      <c r="M374" s="2"/>
      <c r="N374" s="1" t="str">
        <f t="shared" si="16"/>
        <v/>
      </c>
      <c r="O374" s="2"/>
      <c r="P374" s="2"/>
      <c r="Q374" s="2"/>
      <c r="R374" s="2"/>
      <c r="S374" s="1" t="str">
        <f t="shared" si="17"/>
        <v/>
      </c>
    </row>
    <row r="375" spans="1:19" x14ac:dyDescent="0.25">
      <c r="A375" s="2"/>
      <c r="F375" s="29"/>
      <c r="H375" s="1" t="str">
        <f t="shared" ca="1" si="15"/>
        <v/>
      </c>
      <c r="M375" s="2"/>
      <c r="N375" s="1" t="str">
        <f t="shared" si="16"/>
        <v/>
      </c>
      <c r="O375" s="2"/>
      <c r="P375" s="2"/>
      <c r="Q375" s="2"/>
      <c r="R375" s="2"/>
      <c r="S375" s="1" t="str">
        <f t="shared" si="17"/>
        <v/>
      </c>
    </row>
    <row r="376" spans="1:19" x14ac:dyDescent="0.25">
      <c r="A376" s="2"/>
      <c r="F376" s="29"/>
      <c r="H376" s="1" t="str">
        <f t="shared" ca="1" si="15"/>
        <v/>
      </c>
      <c r="M376" s="2"/>
      <c r="N376" s="1" t="str">
        <f t="shared" si="16"/>
        <v/>
      </c>
      <c r="O376" s="2"/>
      <c r="P376" s="2"/>
      <c r="Q376" s="2"/>
      <c r="R376" s="2"/>
      <c r="S376" s="1" t="str">
        <f t="shared" si="17"/>
        <v/>
      </c>
    </row>
    <row r="377" spans="1:19" x14ac:dyDescent="0.25">
      <c r="A377" s="2"/>
      <c r="F377" s="29"/>
      <c r="H377" s="1" t="str">
        <f t="shared" ca="1" si="15"/>
        <v/>
      </c>
      <c r="M377" s="2"/>
      <c r="N377" s="1" t="str">
        <f t="shared" si="16"/>
        <v/>
      </c>
      <c r="O377" s="2"/>
      <c r="P377" s="2"/>
      <c r="Q377" s="2"/>
      <c r="R377" s="2"/>
      <c r="S377" s="1" t="str">
        <f t="shared" si="17"/>
        <v/>
      </c>
    </row>
    <row r="378" spans="1:19" x14ac:dyDescent="0.25">
      <c r="A378" s="2"/>
      <c r="F378" s="29"/>
      <c r="H378" s="1" t="str">
        <f t="shared" ca="1" si="15"/>
        <v/>
      </c>
      <c r="M378" s="2"/>
      <c r="N378" s="1" t="str">
        <f t="shared" si="16"/>
        <v/>
      </c>
      <c r="O378" s="2"/>
      <c r="P378" s="2"/>
      <c r="Q378" s="2"/>
      <c r="R378" s="2"/>
      <c r="S378" s="1" t="str">
        <f t="shared" si="17"/>
        <v/>
      </c>
    </row>
    <row r="379" spans="1:19" x14ac:dyDescent="0.25">
      <c r="A379" s="2"/>
      <c r="F379" s="29"/>
      <c r="H379" s="1" t="str">
        <f t="shared" ca="1" si="15"/>
        <v/>
      </c>
      <c r="M379" s="2"/>
      <c r="N379" s="1" t="str">
        <f t="shared" si="16"/>
        <v/>
      </c>
      <c r="O379" s="2"/>
      <c r="P379" s="2"/>
      <c r="Q379" s="2"/>
      <c r="R379" s="2"/>
      <c r="S379" s="1" t="str">
        <f t="shared" si="17"/>
        <v/>
      </c>
    </row>
    <row r="380" spans="1:19" x14ac:dyDescent="0.25">
      <c r="A380" s="2"/>
      <c r="F380" s="29"/>
      <c r="H380" s="1" t="str">
        <f t="shared" ref="H380:H443" ca="1" si="18">IF(A380="","",IF(ISNUMBER(M380),M380-A380,TODAY()-A380))</f>
        <v/>
      </c>
      <c r="M380" s="2"/>
      <c r="N380" s="1" t="str">
        <f t="shared" ref="N380:N443" si="19">IF(M380="","",IF(ISNUMBER(M380),"Closed","Open"))</f>
        <v/>
      </c>
      <c r="O380" s="2"/>
      <c r="P380" s="2"/>
      <c r="Q380" s="2"/>
      <c r="R380" s="2"/>
      <c r="S380" s="1" t="str">
        <f t="shared" ref="S380:S443" si="20">IF(Q380="","",R380-Q380)</f>
        <v/>
      </c>
    </row>
    <row r="381" spans="1:19" x14ac:dyDescent="0.25">
      <c r="A381" s="2"/>
      <c r="F381" s="29"/>
      <c r="H381" s="1" t="str">
        <f t="shared" ca="1" si="18"/>
        <v/>
      </c>
      <c r="M381" s="2"/>
      <c r="N381" s="1" t="str">
        <f t="shared" si="19"/>
        <v/>
      </c>
      <c r="O381" s="2"/>
      <c r="P381" s="2"/>
      <c r="Q381" s="2"/>
      <c r="R381" s="2"/>
      <c r="S381" s="1" t="str">
        <f t="shared" si="20"/>
        <v/>
      </c>
    </row>
    <row r="382" spans="1:19" x14ac:dyDescent="0.25">
      <c r="A382" s="2"/>
      <c r="F382" s="29"/>
      <c r="H382" s="1" t="str">
        <f t="shared" ca="1" si="18"/>
        <v/>
      </c>
      <c r="M382" s="2"/>
      <c r="N382" s="1" t="str">
        <f t="shared" si="19"/>
        <v/>
      </c>
      <c r="O382" s="2"/>
      <c r="P382" s="2"/>
      <c r="Q382" s="2"/>
      <c r="R382" s="2"/>
      <c r="S382" s="1" t="str">
        <f t="shared" si="20"/>
        <v/>
      </c>
    </row>
    <row r="383" spans="1:19" x14ac:dyDescent="0.25">
      <c r="A383" s="2"/>
      <c r="F383" s="29"/>
      <c r="H383" s="1" t="str">
        <f t="shared" ca="1" si="18"/>
        <v/>
      </c>
      <c r="M383" s="2"/>
      <c r="N383" s="1" t="str">
        <f t="shared" si="19"/>
        <v/>
      </c>
      <c r="O383" s="2"/>
      <c r="P383" s="2"/>
      <c r="Q383" s="2"/>
      <c r="R383" s="2"/>
      <c r="S383" s="1" t="str">
        <f t="shared" si="20"/>
        <v/>
      </c>
    </row>
    <row r="384" spans="1:19" x14ac:dyDescent="0.25">
      <c r="A384" s="2"/>
      <c r="F384" s="29"/>
      <c r="H384" s="1" t="str">
        <f t="shared" ca="1" si="18"/>
        <v/>
      </c>
      <c r="M384" s="2"/>
      <c r="N384" s="1" t="str">
        <f t="shared" si="19"/>
        <v/>
      </c>
      <c r="O384" s="2"/>
      <c r="P384" s="2"/>
      <c r="Q384" s="2"/>
      <c r="R384" s="2"/>
      <c r="S384" s="1" t="str">
        <f t="shared" si="20"/>
        <v/>
      </c>
    </row>
    <row r="385" spans="1:19" x14ac:dyDescent="0.25">
      <c r="A385" s="2"/>
      <c r="F385" s="29"/>
      <c r="H385" s="1" t="str">
        <f t="shared" ca="1" si="18"/>
        <v/>
      </c>
      <c r="M385" s="2"/>
      <c r="N385" s="1" t="str">
        <f t="shared" si="19"/>
        <v/>
      </c>
      <c r="O385" s="2"/>
      <c r="P385" s="2"/>
      <c r="Q385" s="2"/>
      <c r="R385" s="2"/>
      <c r="S385" s="1" t="str">
        <f t="shared" si="20"/>
        <v/>
      </c>
    </row>
    <row r="386" spans="1:19" x14ac:dyDescent="0.25">
      <c r="A386" s="2"/>
      <c r="F386" s="29"/>
      <c r="H386" s="1" t="str">
        <f t="shared" ca="1" si="18"/>
        <v/>
      </c>
      <c r="M386" s="2"/>
      <c r="N386" s="1" t="str">
        <f t="shared" si="19"/>
        <v/>
      </c>
      <c r="O386" s="2"/>
      <c r="P386" s="2"/>
      <c r="Q386" s="2"/>
      <c r="R386" s="2"/>
      <c r="S386" s="1" t="str">
        <f t="shared" si="20"/>
        <v/>
      </c>
    </row>
    <row r="387" spans="1:19" x14ac:dyDescent="0.25">
      <c r="A387" s="2"/>
      <c r="F387" s="29"/>
      <c r="H387" s="1" t="str">
        <f t="shared" ca="1" si="18"/>
        <v/>
      </c>
      <c r="M387" s="2"/>
      <c r="N387" s="1" t="str">
        <f t="shared" si="19"/>
        <v/>
      </c>
      <c r="O387" s="2"/>
      <c r="P387" s="2"/>
      <c r="Q387" s="2"/>
      <c r="R387" s="2"/>
      <c r="S387" s="1" t="str">
        <f t="shared" si="20"/>
        <v/>
      </c>
    </row>
    <row r="388" spans="1:19" x14ac:dyDescent="0.25">
      <c r="A388" s="2"/>
      <c r="F388" s="29"/>
      <c r="H388" s="1" t="str">
        <f t="shared" ca="1" si="18"/>
        <v/>
      </c>
      <c r="M388" s="2"/>
      <c r="N388" s="1" t="str">
        <f t="shared" si="19"/>
        <v/>
      </c>
      <c r="O388" s="2"/>
      <c r="P388" s="2"/>
      <c r="Q388" s="2"/>
      <c r="R388" s="2"/>
      <c r="S388" s="1" t="str">
        <f t="shared" si="20"/>
        <v/>
      </c>
    </row>
    <row r="389" spans="1:19" x14ac:dyDescent="0.25">
      <c r="A389" s="2"/>
      <c r="F389" s="29"/>
      <c r="H389" s="1" t="str">
        <f t="shared" ca="1" si="18"/>
        <v/>
      </c>
      <c r="M389" s="2"/>
      <c r="N389" s="1" t="str">
        <f t="shared" si="19"/>
        <v/>
      </c>
      <c r="O389" s="2"/>
      <c r="P389" s="2"/>
      <c r="Q389" s="2"/>
      <c r="R389" s="2"/>
      <c r="S389" s="1" t="str">
        <f t="shared" si="20"/>
        <v/>
      </c>
    </row>
    <row r="390" spans="1:19" x14ac:dyDescent="0.25">
      <c r="A390" s="2"/>
      <c r="F390" s="29"/>
      <c r="H390" s="1" t="str">
        <f t="shared" ca="1" si="18"/>
        <v/>
      </c>
      <c r="M390" s="2"/>
      <c r="N390" s="1" t="str">
        <f t="shared" si="19"/>
        <v/>
      </c>
      <c r="O390" s="2"/>
      <c r="P390" s="2"/>
      <c r="Q390" s="2"/>
      <c r="R390" s="2"/>
      <c r="S390" s="1" t="str">
        <f t="shared" si="20"/>
        <v/>
      </c>
    </row>
    <row r="391" spans="1:19" x14ac:dyDescent="0.25">
      <c r="A391" s="2"/>
      <c r="F391" s="29"/>
      <c r="H391" s="1" t="str">
        <f t="shared" ca="1" si="18"/>
        <v/>
      </c>
      <c r="M391" s="2"/>
      <c r="N391" s="1" t="str">
        <f t="shared" si="19"/>
        <v/>
      </c>
      <c r="O391" s="2"/>
      <c r="P391" s="2"/>
      <c r="Q391" s="2"/>
      <c r="R391" s="2"/>
      <c r="S391" s="1" t="str">
        <f t="shared" si="20"/>
        <v/>
      </c>
    </row>
    <row r="392" spans="1:19" x14ac:dyDescent="0.25">
      <c r="A392" s="2"/>
      <c r="F392" s="29"/>
      <c r="H392" s="1" t="str">
        <f t="shared" ca="1" si="18"/>
        <v/>
      </c>
      <c r="M392" s="2"/>
      <c r="N392" s="1" t="str">
        <f t="shared" si="19"/>
        <v/>
      </c>
      <c r="O392" s="2"/>
      <c r="P392" s="2"/>
      <c r="Q392" s="2"/>
      <c r="R392" s="2"/>
      <c r="S392" s="1" t="str">
        <f t="shared" si="20"/>
        <v/>
      </c>
    </row>
    <row r="393" spans="1:19" x14ac:dyDescent="0.25">
      <c r="A393" s="2"/>
      <c r="F393" s="29"/>
      <c r="H393" s="1" t="str">
        <f t="shared" ca="1" si="18"/>
        <v/>
      </c>
      <c r="M393" s="2"/>
      <c r="N393" s="1" t="str">
        <f t="shared" si="19"/>
        <v/>
      </c>
      <c r="O393" s="2"/>
      <c r="P393" s="2"/>
      <c r="Q393" s="2"/>
      <c r="R393" s="2"/>
      <c r="S393" s="1" t="str">
        <f t="shared" si="20"/>
        <v/>
      </c>
    </row>
    <row r="394" spans="1:19" x14ac:dyDescent="0.25">
      <c r="A394" s="2"/>
      <c r="F394" s="29"/>
      <c r="H394" s="1" t="str">
        <f t="shared" ca="1" si="18"/>
        <v/>
      </c>
      <c r="M394" s="2"/>
      <c r="N394" s="1" t="str">
        <f t="shared" si="19"/>
        <v/>
      </c>
      <c r="O394" s="2"/>
      <c r="P394" s="2"/>
      <c r="Q394" s="2"/>
      <c r="R394" s="2"/>
      <c r="S394" s="1" t="str">
        <f t="shared" si="20"/>
        <v/>
      </c>
    </row>
    <row r="395" spans="1:19" x14ac:dyDescent="0.25">
      <c r="A395" s="2"/>
      <c r="F395" s="29"/>
      <c r="H395" s="1" t="str">
        <f t="shared" ca="1" si="18"/>
        <v/>
      </c>
      <c r="M395" s="2"/>
      <c r="N395" s="1" t="str">
        <f t="shared" si="19"/>
        <v/>
      </c>
      <c r="O395" s="2"/>
      <c r="P395" s="2"/>
      <c r="Q395" s="2"/>
      <c r="R395" s="2"/>
      <c r="S395" s="1" t="str">
        <f t="shared" si="20"/>
        <v/>
      </c>
    </row>
    <row r="396" spans="1:19" x14ac:dyDescent="0.25">
      <c r="A396" s="2"/>
      <c r="F396" s="29"/>
      <c r="H396" s="1" t="str">
        <f t="shared" ca="1" si="18"/>
        <v/>
      </c>
      <c r="M396" s="2"/>
      <c r="N396" s="1" t="str">
        <f t="shared" si="19"/>
        <v/>
      </c>
      <c r="O396" s="2"/>
      <c r="P396" s="2"/>
      <c r="Q396" s="2"/>
      <c r="R396" s="2"/>
      <c r="S396" s="1" t="str">
        <f t="shared" si="20"/>
        <v/>
      </c>
    </row>
    <row r="397" spans="1:19" x14ac:dyDescent="0.25">
      <c r="A397" s="2"/>
      <c r="F397" s="29"/>
      <c r="H397" s="1" t="str">
        <f t="shared" ca="1" si="18"/>
        <v/>
      </c>
      <c r="M397" s="2"/>
      <c r="N397" s="1" t="str">
        <f t="shared" si="19"/>
        <v/>
      </c>
      <c r="O397" s="2"/>
      <c r="P397" s="2"/>
      <c r="Q397" s="2"/>
      <c r="R397" s="2"/>
      <c r="S397" s="1" t="str">
        <f t="shared" si="20"/>
        <v/>
      </c>
    </row>
    <row r="398" spans="1:19" x14ac:dyDescent="0.25">
      <c r="A398" s="2"/>
      <c r="F398" s="29"/>
      <c r="H398" s="1" t="str">
        <f t="shared" ca="1" si="18"/>
        <v/>
      </c>
      <c r="M398" s="2"/>
      <c r="N398" s="1" t="str">
        <f t="shared" si="19"/>
        <v/>
      </c>
      <c r="O398" s="2"/>
      <c r="P398" s="2"/>
      <c r="Q398" s="2"/>
      <c r="R398" s="2"/>
      <c r="S398" s="1" t="str">
        <f t="shared" si="20"/>
        <v/>
      </c>
    </row>
    <row r="399" spans="1:19" x14ac:dyDescent="0.25">
      <c r="A399" s="2"/>
      <c r="F399" s="29"/>
      <c r="H399" s="1" t="str">
        <f t="shared" ca="1" si="18"/>
        <v/>
      </c>
      <c r="M399" s="2"/>
      <c r="N399" s="1" t="str">
        <f t="shared" si="19"/>
        <v/>
      </c>
      <c r="O399" s="2"/>
      <c r="P399" s="2"/>
      <c r="Q399" s="2"/>
      <c r="R399" s="2"/>
      <c r="S399" s="1" t="str">
        <f t="shared" si="20"/>
        <v/>
      </c>
    </row>
    <row r="400" spans="1:19" x14ac:dyDescent="0.25">
      <c r="A400" s="2"/>
      <c r="F400" s="29"/>
      <c r="H400" s="1" t="str">
        <f t="shared" ca="1" si="18"/>
        <v/>
      </c>
      <c r="M400" s="2"/>
      <c r="N400" s="1" t="str">
        <f t="shared" si="19"/>
        <v/>
      </c>
      <c r="O400" s="2"/>
      <c r="P400" s="2"/>
      <c r="Q400" s="2"/>
      <c r="R400" s="2"/>
      <c r="S400" s="1" t="str">
        <f t="shared" si="20"/>
        <v/>
      </c>
    </row>
    <row r="401" spans="1:19" x14ac:dyDescent="0.25">
      <c r="A401" s="2"/>
      <c r="F401" s="29"/>
      <c r="H401" s="1" t="str">
        <f t="shared" ca="1" si="18"/>
        <v/>
      </c>
      <c r="M401" s="2"/>
      <c r="N401" s="1" t="str">
        <f t="shared" si="19"/>
        <v/>
      </c>
      <c r="O401" s="2"/>
      <c r="P401" s="2"/>
      <c r="Q401" s="2"/>
      <c r="R401" s="2"/>
      <c r="S401" s="1" t="str">
        <f t="shared" si="20"/>
        <v/>
      </c>
    </row>
    <row r="402" spans="1:19" x14ac:dyDescent="0.25">
      <c r="A402" s="2"/>
      <c r="F402" s="29"/>
      <c r="H402" s="1" t="str">
        <f t="shared" ca="1" si="18"/>
        <v/>
      </c>
      <c r="M402" s="2"/>
      <c r="N402" s="1" t="str">
        <f t="shared" si="19"/>
        <v/>
      </c>
      <c r="O402" s="2"/>
      <c r="P402" s="2"/>
      <c r="Q402" s="2"/>
      <c r="R402" s="2"/>
      <c r="S402" s="1" t="str">
        <f t="shared" si="20"/>
        <v/>
      </c>
    </row>
    <row r="403" spans="1:19" x14ac:dyDescent="0.25">
      <c r="A403" s="2"/>
      <c r="F403" s="29"/>
      <c r="H403" s="1" t="str">
        <f t="shared" ca="1" si="18"/>
        <v/>
      </c>
      <c r="M403" s="2"/>
      <c r="N403" s="1" t="str">
        <f t="shared" si="19"/>
        <v/>
      </c>
      <c r="O403" s="2"/>
      <c r="P403" s="2"/>
      <c r="Q403" s="2"/>
      <c r="R403" s="2"/>
      <c r="S403" s="1" t="str">
        <f t="shared" si="20"/>
        <v/>
      </c>
    </row>
    <row r="404" spans="1:19" x14ac:dyDescent="0.25">
      <c r="A404" s="2"/>
      <c r="F404" s="29"/>
      <c r="H404" s="1" t="str">
        <f t="shared" ca="1" si="18"/>
        <v/>
      </c>
      <c r="M404" s="2"/>
      <c r="N404" s="1" t="str">
        <f t="shared" si="19"/>
        <v/>
      </c>
      <c r="O404" s="2"/>
      <c r="P404" s="2"/>
      <c r="Q404" s="2"/>
      <c r="R404" s="2"/>
      <c r="S404" s="1" t="str">
        <f t="shared" si="20"/>
        <v/>
      </c>
    </row>
    <row r="405" spans="1:19" x14ac:dyDescent="0.25">
      <c r="A405" s="2"/>
      <c r="F405" s="29"/>
      <c r="H405" s="1" t="str">
        <f t="shared" ca="1" si="18"/>
        <v/>
      </c>
      <c r="M405" s="2"/>
      <c r="N405" s="1" t="str">
        <f t="shared" si="19"/>
        <v/>
      </c>
      <c r="O405" s="2"/>
      <c r="P405" s="2"/>
      <c r="Q405" s="2"/>
      <c r="R405" s="2"/>
      <c r="S405" s="1" t="str">
        <f t="shared" si="20"/>
        <v/>
      </c>
    </row>
    <row r="406" spans="1:19" x14ac:dyDescent="0.25">
      <c r="A406" s="2"/>
      <c r="F406" s="29"/>
      <c r="H406" s="1" t="str">
        <f t="shared" ca="1" si="18"/>
        <v/>
      </c>
      <c r="M406" s="2"/>
      <c r="N406" s="1" t="str">
        <f t="shared" si="19"/>
        <v/>
      </c>
      <c r="O406" s="2"/>
      <c r="P406" s="2"/>
      <c r="Q406" s="2"/>
      <c r="R406" s="2"/>
      <c r="S406" s="1" t="str">
        <f t="shared" si="20"/>
        <v/>
      </c>
    </row>
    <row r="407" spans="1:19" x14ac:dyDescent="0.25">
      <c r="A407" s="2"/>
      <c r="F407" s="29"/>
      <c r="H407" s="1" t="str">
        <f t="shared" ca="1" si="18"/>
        <v/>
      </c>
      <c r="M407" s="2"/>
      <c r="N407" s="1" t="str">
        <f t="shared" si="19"/>
        <v/>
      </c>
      <c r="O407" s="2"/>
      <c r="P407" s="2"/>
      <c r="Q407" s="2"/>
      <c r="R407" s="2"/>
      <c r="S407" s="1" t="str">
        <f t="shared" si="20"/>
        <v/>
      </c>
    </row>
    <row r="408" spans="1:19" x14ac:dyDescent="0.25">
      <c r="A408" s="2"/>
      <c r="F408" s="29"/>
      <c r="H408" s="1" t="str">
        <f t="shared" ca="1" si="18"/>
        <v/>
      </c>
      <c r="M408" s="2"/>
      <c r="N408" s="1" t="str">
        <f t="shared" si="19"/>
        <v/>
      </c>
      <c r="O408" s="2"/>
      <c r="P408" s="2"/>
      <c r="Q408" s="2"/>
      <c r="R408" s="2"/>
      <c r="S408" s="1" t="str">
        <f t="shared" si="20"/>
        <v/>
      </c>
    </row>
    <row r="409" spans="1:19" x14ac:dyDescent="0.25">
      <c r="A409" s="2"/>
      <c r="F409" s="29"/>
      <c r="H409" s="1" t="str">
        <f t="shared" ca="1" si="18"/>
        <v/>
      </c>
      <c r="M409" s="2"/>
      <c r="N409" s="1" t="str">
        <f t="shared" si="19"/>
        <v/>
      </c>
      <c r="O409" s="2"/>
      <c r="P409" s="2"/>
      <c r="Q409" s="2"/>
      <c r="R409" s="2"/>
      <c r="S409" s="1" t="str">
        <f t="shared" si="20"/>
        <v/>
      </c>
    </row>
    <row r="410" spans="1:19" x14ac:dyDescent="0.25">
      <c r="A410" s="2"/>
      <c r="F410" s="29"/>
      <c r="H410" s="1" t="str">
        <f t="shared" ca="1" si="18"/>
        <v/>
      </c>
      <c r="M410" s="2"/>
      <c r="N410" s="1" t="str">
        <f t="shared" si="19"/>
        <v/>
      </c>
      <c r="O410" s="2"/>
      <c r="P410" s="2"/>
      <c r="Q410" s="2"/>
      <c r="R410" s="2"/>
      <c r="S410" s="1" t="str">
        <f t="shared" si="20"/>
        <v/>
      </c>
    </row>
    <row r="411" spans="1:19" x14ac:dyDescent="0.25">
      <c r="A411" s="2"/>
      <c r="F411" s="29"/>
      <c r="H411" s="1" t="str">
        <f t="shared" ca="1" si="18"/>
        <v/>
      </c>
      <c r="M411" s="2"/>
      <c r="N411" s="1" t="str">
        <f t="shared" si="19"/>
        <v/>
      </c>
      <c r="O411" s="2"/>
      <c r="P411" s="2"/>
      <c r="Q411" s="2"/>
      <c r="R411" s="2"/>
      <c r="S411" s="1" t="str">
        <f t="shared" si="20"/>
        <v/>
      </c>
    </row>
    <row r="412" spans="1:19" x14ac:dyDescent="0.25">
      <c r="A412" s="2"/>
      <c r="F412" s="29"/>
      <c r="H412" s="1" t="str">
        <f t="shared" ca="1" si="18"/>
        <v/>
      </c>
      <c r="M412" s="2"/>
      <c r="N412" s="1" t="str">
        <f t="shared" si="19"/>
        <v/>
      </c>
      <c r="O412" s="2"/>
      <c r="P412" s="2"/>
      <c r="Q412" s="2"/>
      <c r="R412" s="2"/>
      <c r="S412" s="1" t="str">
        <f t="shared" si="20"/>
        <v/>
      </c>
    </row>
    <row r="413" spans="1:19" x14ac:dyDescent="0.25">
      <c r="A413" s="2"/>
      <c r="F413" s="29"/>
      <c r="H413" s="1" t="str">
        <f t="shared" ca="1" si="18"/>
        <v/>
      </c>
      <c r="M413" s="2"/>
      <c r="N413" s="1" t="str">
        <f t="shared" si="19"/>
        <v/>
      </c>
      <c r="O413" s="2"/>
      <c r="P413" s="2"/>
      <c r="Q413" s="2"/>
      <c r="R413" s="2"/>
      <c r="S413" s="1" t="str">
        <f t="shared" si="20"/>
        <v/>
      </c>
    </row>
    <row r="414" spans="1:19" x14ac:dyDescent="0.25">
      <c r="A414" s="2"/>
      <c r="F414" s="29"/>
      <c r="H414" s="1" t="str">
        <f t="shared" ca="1" si="18"/>
        <v/>
      </c>
      <c r="M414" s="2"/>
      <c r="N414" s="1" t="str">
        <f t="shared" si="19"/>
        <v/>
      </c>
      <c r="O414" s="2"/>
      <c r="P414" s="2"/>
      <c r="Q414" s="2"/>
      <c r="R414" s="2"/>
      <c r="S414" s="1" t="str">
        <f t="shared" si="20"/>
        <v/>
      </c>
    </row>
    <row r="415" spans="1:19" x14ac:dyDescent="0.25">
      <c r="A415" s="2"/>
      <c r="F415" s="29"/>
      <c r="H415" s="1" t="str">
        <f t="shared" ca="1" si="18"/>
        <v/>
      </c>
      <c r="M415" s="2"/>
      <c r="N415" s="1" t="str">
        <f t="shared" si="19"/>
        <v/>
      </c>
      <c r="O415" s="2"/>
      <c r="P415" s="2"/>
      <c r="Q415" s="2"/>
      <c r="R415" s="2"/>
      <c r="S415" s="1" t="str">
        <f t="shared" si="20"/>
        <v/>
      </c>
    </row>
    <row r="416" spans="1:19" x14ac:dyDescent="0.25">
      <c r="A416" s="2"/>
      <c r="F416" s="29"/>
      <c r="H416" s="1" t="str">
        <f t="shared" ca="1" si="18"/>
        <v/>
      </c>
      <c r="M416" s="2"/>
      <c r="N416" s="1" t="str">
        <f t="shared" si="19"/>
        <v/>
      </c>
      <c r="O416" s="2"/>
      <c r="P416" s="2"/>
      <c r="Q416" s="2"/>
      <c r="R416" s="2"/>
      <c r="S416" s="1" t="str">
        <f t="shared" si="20"/>
        <v/>
      </c>
    </row>
    <row r="417" spans="1:19" x14ac:dyDescent="0.25">
      <c r="A417" s="2"/>
      <c r="F417" s="29"/>
      <c r="H417" s="1" t="str">
        <f t="shared" ca="1" si="18"/>
        <v/>
      </c>
      <c r="M417" s="2"/>
      <c r="N417" s="1" t="str">
        <f t="shared" si="19"/>
        <v/>
      </c>
      <c r="O417" s="2"/>
      <c r="P417" s="2"/>
      <c r="Q417" s="2"/>
      <c r="R417" s="2"/>
      <c r="S417" s="1" t="str">
        <f t="shared" si="20"/>
        <v/>
      </c>
    </row>
    <row r="418" spans="1:19" x14ac:dyDescent="0.25">
      <c r="A418" s="2"/>
      <c r="F418" s="29"/>
      <c r="H418" s="1" t="str">
        <f t="shared" ca="1" si="18"/>
        <v/>
      </c>
      <c r="M418" s="2"/>
      <c r="N418" s="1" t="str">
        <f t="shared" si="19"/>
        <v/>
      </c>
      <c r="O418" s="2"/>
      <c r="P418" s="2"/>
      <c r="Q418" s="2"/>
      <c r="R418" s="2"/>
      <c r="S418" s="1" t="str">
        <f t="shared" si="20"/>
        <v/>
      </c>
    </row>
    <row r="419" spans="1:19" x14ac:dyDescent="0.25">
      <c r="A419" s="2"/>
      <c r="F419" s="29"/>
      <c r="H419" s="1" t="str">
        <f t="shared" ca="1" si="18"/>
        <v/>
      </c>
      <c r="M419" s="2"/>
      <c r="N419" s="1" t="str">
        <f t="shared" si="19"/>
        <v/>
      </c>
      <c r="O419" s="2"/>
      <c r="P419" s="2"/>
      <c r="Q419" s="2"/>
      <c r="R419" s="2"/>
      <c r="S419" s="1" t="str">
        <f t="shared" si="20"/>
        <v/>
      </c>
    </row>
    <row r="420" spans="1:19" x14ac:dyDescent="0.25">
      <c r="A420" s="2"/>
      <c r="F420" s="29"/>
      <c r="H420" s="1" t="str">
        <f t="shared" ca="1" si="18"/>
        <v/>
      </c>
      <c r="M420" s="2"/>
      <c r="N420" s="1" t="str">
        <f t="shared" si="19"/>
        <v/>
      </c>
      <c r="O420" s="2"/>
      <c r="P420" s="2"/>
      <c r="Q420" s="2"/>
      <c r="R420" s="2"/>
      <c r="S420" s="1" t="str">
        <f t="shared" si="20"/>
        <v/>
      </c>
    </row>
    <row r="421" spans="1:19" x14ac:dyDescent="0.25">
      <c r="A421" s="2"/>
      <c r="F421" s="29"/>
      <c r="H421" s="1" t="str">
        <f t="shared" ca="1" si="18"/>
        <v/>
      </c>
      <c r="M421" s="2"/>
      <c r="N421" s="1" t="str">
        <f t="shared" si="19"/>
        <v/>
      </c>
      <c r="O421" s="2"/>
      <c r="P421" s="2"/>
      <c r="Q421" s="2"/>
      <c r="R421" s="2"/>
      <c r="S421" s="1" t="str">
        <f t="shared" si="20"/>
        <v/>
      </c>
    </row>
    <row r="422" spans="1:19" x14ac:dyDescent="0.25">
      <c r="A422" s="2"/>
      <c r="F422" s="29"/>
      <c r="H422" s="1" t="str">
        <f t="shared" ca="1" si="18"/>
        <v/>
      </c>
      <c r="M422" s="2"/>
      <c r="N422" s="1" t="str">
        <f t="shared" si="19"/>
        <v/>
      </c>
      <c r="O422" s="2"/>
      <c r="P422" s="2"/>
      <c r="Q422" s="2"/>
      <c r="R422" s="2"/>
      <c r="S422" s="1" t="str">
        <f t="shared" si="20"/>
        <v/>
      </c>
    </row>
    <row r="423" spans="1:19" x14ac:dyDescent="0.25">
      <c r="A423" s="2"/>
      <c r="F423" s="29"/>
      <c r="H423" s="1" t="str">
        <f t="shared" ca="1" si="18"/>
        <v/>
      </c>
      <c r="M423" s="2"/>
      <c r="N423" s="1" t="str">
        <f t="shared" si="19"/>
        <v/>
      </c>
      <c r="O423" s="2"/>
      <c r="P423" s="2"/>
      <c r="Q423" s="2"/>
      <c r="R423" s="2"/>
      <c r="S423" s="1" t="str">
        <f t="shared" si="20"/>
        <v/>
      </c>
    </row>
    <row r="424" spans="1:19" x14ac:dyDescent="0.25">
      <c r="A424" s="2"/>
      <c r="F424" s="29"/>
      <c r="H424" s="1" t="str">
        <f t="shared" ca="1" si="18"/>
        <v/>
      </c>
      <c r="M424" s="2"/>
      <c r="N424" s="1" t="str">
        <f t="shared" si="19"/>
        <v/>
      </c>
      <c r="O424" s="2"/>
      <c r="P424" s="2"/>
      <c r="Q424" s="2"/>
      <c r="R424" s="2"/>
      <c r="S424" s="1" t="str">
        <f t="shared" si="20"/>
        <v/>
      </c>
    </row>
    <row r="425" spans="1:19" x14ac:dyDescent="0.25">
      <c r="A425" s="2"/>
      <c r="F425" s="29"/>
      <c r="H425" s="1" t="str">
        <f t="shared" ca="1" si="18"/>
        <v/>
      </c>
      <c r="M425" s="2"/>
      <c r="N425" s="1" t="str">
        <f t="shared" si="19"/>
        <v/>
      </c>
      <c r="O425" s="2"/>
      <c r="P425" s="2"/>
      <c r="Q425" s="2"/>
      <c r="R425" s="2"/>
      <c r="S425" s="1" t="str">
        <f t="shared" si="20"/>
        <v/>
      </c>
    </row>
    <row r="426" spans="1:19" x14ac:dyDescent="0.25">
      <c r="A426" s="2"/>
      <c r="F426" s="29"/>
      <c r="H426" s="1" t="str">
        <f t="shared" ca="1" si="18"/>
        <v/>
      </c>
      <c r="M426" s="2"/>
      <c r="N426" s="1" t="str">
        <f t="shared" si="19"/>
        <v/>
      </c>
      <c r="O426" s="2"/>
      <c r="P426" s="2"/>
      <c r="Q426" s="2"/>
      <c r="R426" s="2"/>
      <c r="S426" s="1" t="str">
        <f t="shared" si="20"/>
        <v/>
      </c>
    </row>
    <row r="427" spans="1:19" x14ac:dyDescent="0.25">
      <c r="A427" s="2"/>
      <c r="F427" s="29"/>
      <c r="H427" s="1" t="str">
        <f t="shared" ca="1" si="18"/>
        <v/>
      </c>
      <c r="M427" s="2"/>
      <c r="N427" s="1" t="str">
        <f t="shared" si="19"/>
        <v/>
      </c>
      <c r="O427" s="2"/>
      <c r="P427" s="2"/>
      <c r="Q427" s="2"/>
      <c r="R427" s="2"/>
      <c r="S427" s="1" t="str">
        <f t="shared" si="20"/>
        <v/>
      </c>
    </row>
    <row r="428" spans="1:19" x14ac:dyDescent="0.25">
      <c r="A428" s="2"/>
      <c r="F428" s="29"/>
      <c r="H428" s="1" t="str">
        <f t="shared" ca="1" si="18"/>
        <v/>
      </c>
      <c r="M428" s="2"/>
      <c r="N428" s="1" t="str">
        <f t="shared" si="19"/>
        <v/>
      </c>
      <c r="O428" s="2"/>
      <c r="P428" s="2"/>
      <c r="Q428" s="2"/>
      <c r="R428" s="2"/>
      <c r="S428" s="1" t="str">
        <f t="shared" si="20"/>
        <v/>
      </c>
    </row>
    <row r="429" spans="1:19" x14ac:dyDescent="0.25">
      <c r="A429" s="2"/>
      <c r="F429" s="29"/>
      <c r="H429" s="1" t="str">
        <f t="shared" ca="1" si="18"/>
        <v/>
      </c>
      <c r="M429" s="2"/>
      <c r="N429" s="1" t="str">
        <f t="shared" si="19"/>
        <v/>
      </c>
      <c r="O429" s="2"/>
      <c r="P429" s="2"/>
      <c r="Q429" s="2"/>
      <c r="R429" s="2"/>
      <c r="S429" s="1" t="str">
        <f t="shared" si="20"/>
        <v/>
      </c>
    </row>
    <row r="430" spans="1:19" x14ac:dyDescent="0.25">
      <c r="A430" s="2"/>
      <c r="F430" s="29"/>
      <c r="H430" s="1" t="str">
        <f t="shared" ca="1" si="18"/>
        <v/>
      </c>
      <c r="M430" s="2"/>
      <c r="N430" s="1" t="str">
        <f t="shared" si="19"/>
        <v/>
      </c>
      <c r="O430" s="2"/>
      <c r="P430" s="2"/>
      <c r="Q430" s="2"/>
      <c r="R430" s="2"/>
      <c r="S430" s="1" t="str">
        <f t="shared" si="20"/>
        <v/>
      </c>
    </row>
    <row r="431" spans="1:19" x14ac:dyDescent="0.25">
      <c r="A431" s="2"/>
      <c r="F431" s="29"/>
      <c r="H431" s="1" t="str">
        <f t="shared" ca="1" si="18"/>
        <v/>
      </c>
      <c r="M431" s="2"/>
      <c r="N431" s="1" t="str">
        <f t="shared" si="19"/>
        <v/>
      </c>
      <c r="O431" s="2"/>
      <c r="P431" s="2"/>
      <c r="Q431" s="2"/>
      <c r="R431" s="2"/>
      <c r="S431" s="1" t="str">
        <f t="shared" si="20"/>
        <v/>
      </c>
    </row>
    <row r="432" spans="1:19" x14ac:dyDescent="0.25">
      <c r="A432" s="2"/>
      <c r="F432" s="29"/>
      <c r="H432" s="1" t="str">
        <f t="shared" ca="1" si="18"/>
        <v/>
      </c>
      <c r="M432" s="2"/>
      <c r="N432" s="1" t="str">
        <f t="shared" si="19"/>
        <v/>
      </c>
      <c r="O432" s="2"/>
      <c r="P432" s="2"/>
      <c r="Q432" s="2"/>
      <c r="R432" s="2"/>
      <c r="S432" s="1" t="str">
        <f t="shared" si="20"/>
        <v/>
      </c>
    </row>
    <row r="433" spans="1:19" x14ac:dyDescent="0.25">
      <c r="A433" s="2"/>
      <c r="F433" s="29"/>
      <c r="H433" s="1" t="str">
        <f t="shared" ca="1" si="18"/>
        <v/>
      </c>
      <c r="M433" s="2"/>
      <c r="N433" s="1" t="str">
        <f t="shared" si="19"/>
        <v/>
      </c>
      <c r="O433" s="2"/>
      <c r="P433" s="2"/>
      <c r="Q433" s="2"/>
      <c r="R433" s="2"/>
      <c r="S433" s="1" t="str">
        <f t="shared" si="20"/>
        <v/>
      </c>
    </row>
    <row r="434" spans="1:19" x14ac:dyDescent="0.25">
      <c r="A434" s="2"/>
      <c r="F434" s="29"/>
      <c r="H434" s="1" t="str">
        <f t="shared" ca="1" si="18"/>
        <v/>
      </c>
      <c r="M434" s="2"/>
      <c r="N434" s="1" t="str">
        <f t="shared" si="19"/>
        <v/>
      </c>
      <c r="O434" s="2"/>
      <c r="P434" s="2"/>
      <c r="Q434" s="2"/>
      <c r="R434" s="2"/>
      <c r="S434" s="1" t="str">
        <f t="shared" si="20"/>
        <v/>
      </c>
    </row>
    <row r="435" spans="1:19" x14ac:dyDescent="0.25">
      <c r="A435" s="2"/>
      <c r="F435" s="29"/>
      <c r="H435" s="1" t="str">
        <f t="shared" ca="1" si="18"/>
        <v/>
      </c>
      <c r="M435" s="2"/>
      <c r="N435" s="1" t="str">
        <f t="shared" si="19"/>
        <v/>
      </c>
      <c r="O435" s="2"/>
      <c r="P435" s="2"/>
      <c r="Q435" s="2"/>
      <c r="R435" s="2"/>
      <c r="S435" s="1" t="str">
        <f t="shared" si="20"/>
        <v/>
      </c>
    </row>
    <row r="436" spans="1:19" x14ac:dyDescent="0.25">
      <c r="A436" s="2"/>
      <c r="F436" s="29"/>
      <c r="H436" s="1" t="str">
        <f t="shared" ca="1" si="18"/>
        <v/>
      </c>
      <c r="M436" s="2"/>
      <c r="N436" s="1" t="str">
        <f t="shared" si="19"/>
        <v/>
      </c>
      <c r="O436" s="2"/>
      <c r="P436" s="2"/>
      <c r="Q436" s="2"/>
      <c r="R436" s="2"/>
      <c r="S436" s="1" t="str">
        <f t="shared" si="20"/>
        <v/>
      </c>
    </row>
    <row r="437" spans="1:19" x14ac:dyDescent="0.25">
      <c r="A437" s="2"/>
      <c r="F437" s="29"/>
      <c r="H437" s="1" t="str">
        <f t="shared" ca="1" si="18"/>
        <v/>
      </c>
      <c r="M437" s="2"/>
      <c r="N437" s="1" t="str">
        <f t="shared" si="19"/>
        <v/>
      </c>
      <c r="O437" s="2"/>
      <c r="P437" s="2"/>
      <c r="Q437" s="2"/>
      <c r="R437" s="2"/>
      <c r="S437" s="1" t="str">
        <f t="shared" si="20"/>
        <v/>
      </c>
    </row>
    <row r="438" spans="1:19" x14ac:dyDescent="0.25">
      <c r="A438" s="2"/>
      <c r="F438" s="29"/>
      <c r="H438" s="1" t="str">
        <f t="shared" ca="1" si="18"/>
        <v/>
      </c>
      <c r="M438" s="2"/>
      <c r="N438" s="1" t="str">
        <f t="shared" si="19"/>
        <v/>
      </c>
      <c r="O438" s="2"/>
      <c r="P438" s="2"/>
      <c r="Q438" s="2"/>
      <c r="R438" s="2"/>
      <c r="S438" s="1" t="str">
        <f t="shared" si="20"/>
        <v/>
      </c>
    </row>
    <row r="439" spans="1:19" x14ac:dyDescent="0.25">
      <c r="A439" s="2"/>
      <c r="F439" s="29"/>
      <c r="H439" s="1" t="str">
        <f t="shared" ca="1" si="18"/>
        <v/>
      </c>
      <c r="M439" s="2"/>
      <c r="N439" s="1" t="str">
        <f t="shared" si="19"/>
        <v/>
      </c>
      <c r="O439" s="2"/>
      <c r="P439" s="2"/>
      <c r="Q439" s="2"/>
      <c r="R439" s="2"/>
      <c r="S439" s="1" t="str">
        <f t="shared" si="20"/>
        <v/>
      </c>
    </row>
    <row r="440" spans="1:19" x14ac:dyDescent="0.25">
      <c r="A440" s="2"/>
      <c r="F440" s="29"/>
      <c r="H440" s="1" t="str">
        <f t="shared" ca="1" si="18"/>
        <v/>
      </c>
      <c r="M440" s="2"/>
      <c r="N440" s="1" t="str">
        <f t="shared" si="19"/>
        <v/>
      </c>
      <c r="O440" s="2"/>
      <c r="P440" s="2"/>
      <c r="Q440" s="2"/>
      <c r="R440" s="2"/>
      <c r="S440" s="1" t="str">
        <f t="shared" si="20"/>
        <v/>
      </c>
    </row>
    <row r="441" spans="1:19" x14ac:dyDescent="0.25">
      <c r="A441" s="2"/>
      <c r="F441" s="29"/>
      <c r="H441" s="1" t="str">
        <f t="shared" ca="1" si="18"/>
        <v/>
      </c>
      <c r="M441" s="2"/>
      <c r="N441" s="1" t="str">
        <f t="shared" si="19"/>
        <v/>
      </c>
      <c r="O441" s="2"/>
      <c r="P441" s="2"/>
      <c r="Q441" s="2"/>
      <c r="R441" s="2"/>
      <c r="S441" s="1" t="str">
        <f t="shared" si="20"/>
        <v/>
      </c>
    </row>
    <row r="442" spans="1:19" x14ac:dyDescent="0.25">
      <c r="A442" s="2"/>
      <c r="F442" s="29"/>
      <c r="H442" s="1" t="str">
        <f t="shared" ca="1" si="18"/>
        <v/>
      </c>
      <c r="M442" s="2"/>
      <c r="N442" s="1" t="str">
        <f t="shared" si="19"/>
        <v/>
      </c>
      <c r="O442" s="2"/>
      <c r="P442" s="2"/>
      <c r="Q442" s="2"/>
      <c r="R442" s="2"/>
      <c r="S442" s="1" t="str">
        <f t="shared" si="20"/>
        <v/>
      </c>
    </row>
    <row r="443" spans="1:19" x14ac:dyDescent="0.25">
      <c r="A443" s="2"/>
      <c r="F443" s="29"/>
      <c r="H443" s="1" t="str">
        <f t="shared" ca="1" si="18"/>
        <v/>
      </c>
      <c r="M443" s="2"/>
      <c r="N443" s="1" t="str">
        <f t="shared" si="19"/>
        <v/>
      </c>
      <c r="O443" s="2"/>
      <c r="P443" s="2"/>
      <c r="Q443" s="2"/>
      <c r="R443" s="2"/>
      <c r="S443" s="1" t="str">
        <f t="shared" si="20"/>
        <v/>
      </c>
    </row>
    <row r="444" spans="1:19" x14ac:dyDescent="0.25">
      <c r="A444" s="2"/>
      <c r="F444" s="29"/>
      <c r="H444" s="1" t="str">
        <f t="shared" ref="H444:H507" ca="1" si="21">IF(A444="","",IF(ISNUMBER(M444),M444-A444,TODAY()-A444))</f>
        <v/>
      </c>
      <c r="M444" s="2"/>
      <c r="N444" s="1" t="str">
        <f t="shared" ref="N444:N507" si="22">IF(M444="","",IF(ISNUMBER(M444),"Closed","Open"))</f>
        <v/>
      </c>
      <c r="O444" s="2"/>
      <c r="P444" s="2"/>
      <c r="Q444" s="2"/>
      <c r="R444" s="2"/>
      <c r="S444" s="1" t="str">
        <f t="shared" ref="S444:S507" si="23">IF(Q444="","",R444-Q444)</f>
        <v/>
      </c>
    </row>
    <row r="445" spans="1:19" x14ac:dyDescent="0.25">
      <c r="A445" s="2"/>
      <c r="F445" s="29"/>
      <c r="H445" s="1" t="str">
        <f t="shared" ca="1" si="21"/>
        <v/>
      </c>
      <c r="M445" s="2"/>
      <c r="N445" s="1" t="str">
        <f t="shared" si="22"/>
        <v/>
      </c>
      <c r="O445" s="2"/>
      <c r="P445" s="2"/>
      <c r="Q445" s="2"/>
      <c r="R445" s="2"/>
      <c r="S445" s="1" t="str">
        <f t="shared" si="23"/>
        <v/>
      </c>
    </row>
    <row r="446" spans="1:19" x14ac:dyDescent="0.25">
      <c r="A446" s="2"/>
      <c r="F446" s="29"/>
      <c r="H446" s="1" t="str">
        <f t="shared" ca="1" si="21"/>
        <v/>
      </c>
      <c r="M446" s="2"/>
      <c r="N446" s="1" t="str">
        <f t="shared" si="22"/>
        <v/>
      </c>
      <c r="O446" s="2"/>
      <c r="P446" s="2"/>
      <c r="Q446" s="2"/>
      <c r="R446" s="2"/>
      <c r="S446" s="1" t="str">
        <f t="shared" si="23"/>
        <v/>
      </c>
    </row>
    <row r="447" spans="1:19" x14ac:dyDescent="0.25">
      <c r="A447" s="2"/>
      <c r="F447" s="29"/>
      <c r="H447" s="1" t="str">
        <f t="shared" ca="1" si="21"/>
        <v/>
      </c>
      <c r="M447" s="2"/>
      <c r="N447" s="1" t="str">
        <f t="shared" si="22"/>
        <v/>
      </c>
      <c r="O447" s="2"/>
      <c r="P447" s="2"/>
      <c r="Q447" s="2"/>
      <c r="R447" s="2"/>
      <c r="S447" s="1" t="str">
        <f t="shared" si="23"/>
        <v/>
      </c>
    </row>
    <row r="448" spans="1:19" x14ac:dyDescent="0.25">
      <c r="A448" s="2"/>
      <c r="F448" s="29"/>
      <c r="H448" s="1" t="str">
        <f t="shared" ca="1" si="21"/>
        <v/>
      </c>
      <c r="M448" s="2"/>
      <c r="N448" s="1" t="str">
        <f t="shared" si="22"/>
        <v/>
      </c>
      <c r="O448" s="2"/>
      <c r="P448" s="2"/>
      <c r="Q448" s="2"/>
      <c r="R448" s="2"/>
      <c r="S448" s="1" t="str">
        <f t="shared" si="23"/>
        <v/>
      </c>
    </row>
    <row r="449" spans="1:19" x14ac:dyDescent="0.25">
      <c r="A449" s="2"/>
      <c r="F449" s="29"/>
      <c r="H449" s="1" t="str">
        <f t="shared" ca="1" si="21"/>
        <v/>
      </c>
      <c r="M449" s="2"/>
      <c r="N449" s="1" t="str">
        <f t="shared" si="22"/>
        <v/>
      </c>
      <c r="O449" s="2"/>
      <c r="P449" s="2"/>
      <c r="Q449" s="2"/>
      <c r="R449" s="2"/>
      <c r="S449" s="1" t="str">
        <f t="shared" si="23"/>
        <v/>
      </c>
    </row>
    <row r="450" spans="1:19" x14ac:dyDescent="0.25">
      <c r="A450" s="2"/>
      <c r="F450" s="29"/>
      <c r="H450" s="1" t="str">
        <f t="shared" ca="1" si="21"/>
        <v/>
      </c>
      <c r="M450" s="2"/>
      <c r="N450" s="1" t="str">
        <f t="shared" si="22"/>
        <v/>
      </c>
      <c r="O450" s="2"/>
      <c r="P450" s="2"/>
      <c r="Q450" s="2"/>
      <c r="R450" s="2"/>
      <c r="S450" s="1" t="str">
        <f t="shared" si="23"/>
        <v/>
      </c>
    </row>
    <row r="451" spans="1:19" x14ac:dyDescent="0.25">
      <c r="A451" s="2"/>
      <c r="F451" s="29"/>
      <c r="H451" s="1" t="str">
        <f t="shared" ca="1" si="21"/>
        <v/>
      </c>
      <c r="M451" s="2"/>
      <c r="N451" s="1" t="str">
        <f t="shared" si="22"/>
        <v/>
      </c>
      <c r="O451" s="2"/>
      <c r="P451" s="2"/>
      <c r="Q451" s="2"/>
      <c r="R451" s="2"/>
      <c r="S451" s="1" t="str">
        <f t="shared" si="23"/>
        <v/>
      </c>
    </row>
    <row r="452" spans="1:19" x14ac:dyDescent="0.25">
      <c r="A452" s="2"/>
      <c r="F452" s="29"/>
      <c r="H452" s="1" t="str">
        <f t="shared" ca="1" si="21"/>
        <v/>
      </c>
      <c r="M452" s="2"/>
      <c r="N452" s="1" t="str">
        <f t="shared" si="22"/>
        <v/>
      </c>
      <c r="O452" s="2"/>
      <c r="P452" s="2"/>
      <c r="Q452" s="2"/>
      <c r="R452" s="2"/>
      <c r="S452" s="1" t="str">
        <f t="shared" si="23"/>
        <v/>
      </c>
    </row>
    <row r="453" spans="1:19" x14ac:dyDescent="0.25">
      <c r="A453" s="2"/>
      <c r="F453" s="29"/>
      <c r="H453" s="1" t="str">
        <f t="shared" ca="1" si="21"/>
        <v/>
      </c>
      <c r="M453" s="2"/>
      <c r="N453" s="1" t="str">
        <f t="shared" si="22"/>
        <v/>
      </c>
      <c r="O453" s="2"/>
      <c r="P453" s="2"/>
      <c r="Q453" s="2"/>
      <c r="R453" s="2"/>
      <c r="S453" s="1" t="str">
        <f t="shared" si="23"/>
        <v/>
      </c>
    </row>
    <row r="454" spans="1:19" x14ac:dyDescent="0.25">
      <c r="A454" s="2"/>
      <c r="F454" s="29"/>
      <c r="H454" s="1" t="str">
        <f t="shared" ca="1" si="21"/>
        <v/>
      </c>
      <c r="M454" s="2"/>
      <c r="N454" s="1" t="str">
        <f t="shared" si="22"/>
        <v/>
      </c>
      <c r="O454" s="2"/>
      <c r="P454" s="2"/>
      <c r="Q454" s="2"/>
      <c r="R454" s="2"/>
      <c r="S454" s="1" t="str">
        <f t="shared" si="23"/>
        <v/>
      </c>
    </row>
    <row r="455" spans="1:19" x14ac:dyDescent="0.25">
      <c r="A455" s="2"/>
      <c r="F455" s="29"/>
      <c r="H455" s="1" t="str">
        <f t="shared" ca="1" si="21"/>
        <v/>
      </c>
      <c r="M455" s="2"/>
      <c r="N455" s="1" t="str">
        <f t="shared" si="22"/>
        <v/>
      </c>
      <c r="O455" s="2"/>
      <c r="P455" s="2"/>
      <c r="Q455" s="2"/>
      <c r="R455" s="2"/>
      <c r="S455" s="1" t="str">
        <f t="shared" si="23"/>
        <v/>
      </c>
    </row>
    <row r="456" spans="1:19" x14ac:dyDescent="0.25">
      <c r="A456" s="2"/>
      <c r="F456" s="29"/>
      <c r="H456" s="1" t="str">
        <f t="shared" ca="1" si="21"/>
        <v/>
      </c>
      <c r="M456" s="2"/>
      <c r="N456" s="1" t="str">
        <f t="shared" si="22"/>
        <v/>
      </c>
      <c r="O456" s="2"/>
      <c r="P456" s="2"/>
      <c r="Q456" s="2"/>
      <c r="R456" s="2"/>
      <c r="S456" s="1" t="str">
        <f t="shared" si="23"/>
        <v/>
      </c>
    </row>
    <row r="457" spans="1:19" x14ac:dyDescent="0.25">
      <c r="A457" s="2"/>
      <c r="F457" s="29"/>
      <c r="H457" s="1" t="str">
        <f t="shared" ca="1" si="21"/>
        <v/>
      </c>
      <c r="M457" s="2"/>
      <c r="N457" s="1" t="str">
        <f t="shared" si="22"/>
        <v/>
      </c>
      <c r="O457" s="2"/>
      <c r="P457" s="2"/>
      <c r="Q457" s="2"/>
      <c r="R457" s="2"/>
      <c r="S457" s="1" t="str">
        <f t="shared" si="23"/>
        <v/>
      </c>
    </row>
    <row r="458" spans="1:19" x14ac:dyDescent="0.25">
      <c r="A458" s="2"/>
      <c r="F458" s="29"/>
      <c r="H458" s="1" t="str">
        <f t="shared" ca="1" si="21"/>
        <v/>
      </c>
      <c r="M458" s="2"/>
      <c r="N458" s="1" t="str">
        <f t="shared" si="22"/>
        <v/>
      </c>
      <c r="O458" s="2"/>
      <c r="P458" s="2"/>
      <c r="Q458" s="2"/>
      <c r="R458" s="2"/>
      <c r="S458" s="1" t="str">
        <f t="shared" si="23"/>
        <v/>
      </c>
    </row>
    <row r="459" spans="1:19" x14ac:dyDescent="0.25">
      <c r="A459" s="2"/>
      <c r="F459" s="29"/>
      <c r="H459" s="1" t="str">
        <f t="shared" ca="1" si="21"/>
        <v/>
      </c>
      <c r="M459" s="2"/>
      <c r="N459" s="1" t="str">
        <f t="shared" si="22"/>
        <v/>
      </c>
      <c r="O459" s="2"/>
      <c r="P459" s="2"/>
      <c r="Q459" s="2"/>
      <c r="R459" s="2"/>
      <c r="S459" s="1" t="str">
        <f t="shared" si="23"/>
        <v/>
      </c>
    </row>
    <row r="460" spans="1:19" x14ac:dyDescent="0.25">
      <c r="A460" s="2"/>
      <c r="F460" s="29"/>
      <c r="H460" s="1" t="str">
        <f t="shared" ca="1" si="21"/>
        <v/>
      </c>
      <c r="M460" s="2"/>
      <c r="N460" s="1" t="str">
        <f t="shared" si="22"/>
        <v/>
      </c>
      <c r="O460" s="2"/>
      <c r="P460" s="2"/>
      <c r="Q460" s="2"/>
      <c r="R460" s="2"/>
      <c r="S460" s="1" t="str">
        <f t="shared" si="23"/>
        <v/>
      </c>
    </row>
    <row r="461" spans="1:19" x14ac:dyDescent="0.25">
      <c r="A461" s="2"/>
      <c r="F461" s="29"/>
      <c r="H461" s="1" t="str">
        <f t="shared" ca="1" si="21"/>
        <v/>
      </c>
      <c r="M461" s="2"/>
      <c r="N461" s="1" t="str">
        <f t="shared" si="22"/>
        <v/>
      </c>
      <c r="O461" s="2"/>
      <c r="P461" s="2"/>
      <c r="Q461" s="2"/>
      <c r="R461" s="2"/>
      <c r="S461" s="1" t="str">
        <f t="shared" si="23"/>
        <v/>
      </c>
    </row>
    <row r="462" spans="1:19" x14ac:dyDescent="0.25">
      <c r="A462" s="2"/>
      <c r="F462" s="29"/>
      <c r="H462" s="1" t="str">
        <f t="shared" ca="1" si="21"/>
        <v/>
      </c>
      <c r="M462" s="2"/>
      <c r="N462" s="1" t="str">
        <f t="shared" si="22"/>
        <v/>
      </c>
      <c r="O462" s="2"/>
      <c r="P462" s="2"/>
      <c r="Q462" s="2"/>
      <c r="R462" s="2"/>
      <c r="S462" s="1" t="str">
        <f t="shared" si="23"/>
        <v/>
      </c>
    </row>
    <row r="463" spans="1:19" x14ac:dyDescent="0.25">
      <c r="A463" s="2"/>
      <c r="F463" s="29"/>
      <c r="H463" s="1" t="str">
        <f t="shared" ca="1" si="21"/>
        <v/>
      </c>
      <c r="M463" s="2"/>
      <c r="N463" s="1" t="str">
        <f t="shared" si="22"/>
        <v/>
      </c>
      <c r="O463" s="2"/>
      <c r="P463" s="2"/>
      <c r="Q463" s="2"/>
      <c r="R463" s="2"/>
      <c r="S463" s="1" t="str">
        <f t="shared" si="23"/>
        <v/>
      </c>
    </row>
    <row r="464" spans="1:19" x14ac:dyDescent="0.25">
      <c r="A464" s="2"/>
      <c r="F464" s="29"/>
      <c r="H464" s="1" t="str">
        <f t="shared" ca="1" si="21"/>
        <v/>
      </c>
      <c r="M464" s="2"/>
      <c r="N464" s="1" t="str">
        <f t="shared" si="22"/>
        <v/>
      </c>
      <c r="O464" s="2"/>
      <c r="P464" s="2"/>
      <c r="Q464" s="2"/>
      <c r="R464" s="2"/>
      <c r="S464" s="1" t="str">
        <f t="shared" si="23"/>
        <v/>
      </c>
    </row>
    <row r="465" spans="1:19" x14ac:dyDescent="0.25">
      <c r="A465" s="2"/>
      <c r="F465" s="29"/>
      <c r="H465" s="1" t="str">
        <f t="shared" ca="1" si="21"/>
        <v/>
      </c>
      <c r="M465" s="2"/>
      <c r="N465" s="1" t="str">
        <f t="shared" si="22"/>
        <v/>
      </c>
      <c r="O465" s="2"/>
      <c r="P465" s="2"/>
      <c r="Q465" s="2"/>
      <c r="R465" s="2"/>
      <c r="S465" s="1" t="str">
        <f t="shared" si="23"/>
        <v/>
      </c>
    </row>
    <row r="466" spans="1:19" x14ac:dyDescent="0.25">
      <c r="A466" s="2"/>
      <c r="F466" s="29"/>
      <c r="H466" s="1" t="str">
        <f t="shared" ca="1" si="21"/>
        <v/>
      </c>
      <c r="M466" s="2"/>
      <c r="N466" s="1" t="str">
        <f t="shared" si="22"/>
        <v/>
      </c>
      <c r="O466" s="2"/>
      <c r="P466" s="2"/>
      <c r="Q466" s="2"/>
      <c r="R466" s="2"/>
      <c r="S466" s="1" t="str">
        <f t="shared" si="23"/>
        <v/>
      </c>
    </row>
    <row r="467" spans="1:19" x14ac:dyDescent="0.25">
      <c r="A467" s="2"/>
      <c r="F467" s="29"/>
      <c r="H467" s="1" t="str">
        <f t="shared" ca="1" si="21"/>
        <v/>
      </c>
      <c r="M467" s="2"/>
      <c r="N467" s="1" t="str">
        <f t="shared" si="22"/>
        <v/>
      </c>
      <c r="O467" s="2"/>
      <c r="P467" s="2"/>
      <c r="Q467" s="2"/>
      <c r="R467" s="2"/>
      <c r="S467" s="1" t="str">
        <f t="shared" si="23"/>
        <v/>
      </c>
    </row>
    <row r="468" spans="1:19" x14ac:dyDescent="0.25">
      <c r="A468" s="2"/>
      <c r="F468" s="29"/>
      <c r="H468" s="1" t="str">
        <f t="shared" ca="1" si="21"/>
        <v/>
      </c>
      <c r="M468" s="2"/>
      <c r="N468" s="1" t="str">
        <f t="shared" si="22"/>
        <v/>
      </c>
      <c r="O468" s="2"/>
      <c r="P468" s="2"/>
      <c r="Q468" s="2"/>
      <c r="R468" s="2"/>
      <c r="S468" s="1" t="str">
        <f t="shared" si="23"/>
        <v/>
      </c>
    </row>
    <row r="469" spans="1:19" x14ac:dyDescent="0.25">
      <c r="A469" s="2"/>
      <c r="F469" s="29"/>
      <c r="H469" s="1" t="str">
        <f t="shared" ca="1" si="21"/>
        <v/>
      </c>
      <c r="M469" s="2"/>
      <c r="N469" s="1" t="str">
        <f t="shared" si="22"/>
        <v/>
      </c>
      <c r="O469" s="2"/>
      <c r="P469" s="2"/>
      <c r="Q469" s="2"/>
      <c r="R469" s="2"/>
      <c r="S469" s="1" t="str">
        <f t="shared" si="23"/>
        <v/>
      </c>
    </row>
    <row r="470" spans="1:19" x14ac:dyDescent="0.25">
      <c r="A470" s="2"/>
      <c r="F470" s="29"/>
      <c r="H470" s="1" t="str">
        <f t="shared" ca="1" si="21"/>
        <v/>
      </c>
      <c r="M470" s="2"/>
      <c r="N470" s="1" t="str">
        <f t="shared" si="22"/>
        <v/>
      </c>
      <c r="O470" s="2"/>
      <c r="P470" s="2"/>
      <c r="Q470" s="2"/>
      <c r="R470" s="2"/>
      <c r="S470" s="1" t="str">
        <f t="shared" si="23"/>
        <v/>
      </c>
    </row>
    <row r="471" spans="1:19" x14ac:dyDescent="0.25">
      <c r="A471" s="2"/>
      <c r="F471" s="29"/>
      <c r="H471" s="1" t="str">
        <f t="shared" ca="1" si="21"/>
        <v/>
      </c>
      <c r="M471" s="2"/>
      <c r="N471" s="1" t="str">
        <f t="shared" si="22"/>
        <v/>
      </c>
      <c r="O471" s="2"/>
      <c r="P471" s="2"/>
      <c r="Q471" s="2"/>
      <c r="R471" s="2"/>
      <c r="S471" s="1" t="str">
        <f t="shared" si="23"/>
        <v/>
      </c>
    </row>
    <row r="472" spans="1:19" x14ac:dyDescent="0.25">
      <c r="A472" s="2"/>
      <c r="F472" s="29"/>
      <c r="H472" s="1" t="str">
        <f t="shared" ca="1" si="21"/>
        <v/>
      </c>
      <c r="M472" s="2"/>
      <c r="N472" s="1" t="str">
        <f t="shared" si="22"/>
        <v/>
      </c>
      <c r="O472" s="2"/>
      <c r="P472" s="2"/>
      <c r="Q472" s="2"/>
      <c r="R472" s="2"/>
      <c r="S472" s="1" t="str">
        <f t="shared" si="23"/>
        <v/>
      </c>
    </row>
    <row r="473" spans="1:19" x14ac:dyDescent="0.25">
      <c r="A473" s="2"/>
      <c r="F473" s="29"/>
      <c r="H473" s="1" t="str">
        <f t="shared" ca="1" si="21"/>
        <v/>
      </c>
      <c r="M473" s="2"/>
      <c r="N473" s="1" t="str">
        <f t="shared" si="22"/>
        <v/>
      </c>
      <c r="O473" s="2"/>
      <c r="P473" s="2"/>
      <c r="Q473" s="2"/>
      <c r="R473" s="2"/>
      <c r="S473" s="1" t="str">
        <f t="shared" si="23"/>
        <v/>
      </c>
    </row>
    <row r="474" spans="1:19" x14ac:dyDescent="0.25">
      <c r="A474" s="2"/>
      <c r="F474" s="29"/>
      <c r="H474" s="1" t="str">
        <f t="shared" ca="1" si="21"/>
        <v/>
      </c>
      <c r="M474" s="2"/>
      <c r="N474" s="1" t="str">
        <f t="shared" si="22"/>
        <v/>
      </c>
      <c r="O474" s="2"/>
      <c r="P474" s="2"/>
      <c r="Q474" s="2"/>
      <c r="R474" s="2"/>
      <c r="S474" s="1" t="str">
        <f t="shared" si="23"/>
        <v/>
      </c>
    </row>
    <row r="475" spans="1:19" x14ac:dyDescent="0.25">
      <c r="A475" s="2"/>
      <c r="F475" s="29"/>
      <c r="H475" s="1" t="str">
        <f t="shared" ca="1" si="21"/>
        <v/>
      </c>
      <c r="M475" s="2"/>
      <c r="N475" s="1" t="str">
        <f t="shared" si="22"/>
        <v/>
      </c>
      <c r="O475" s="2"/>
      <c r="P475" s="2"/>
      <c r="Q475" s="2"/>
      <c r="R475" s="2"/>
      <c r="S475" s="1" t="str">
        <f t="shared" si="23"/>
        <v/>
      </c>
    </row>
    <row r="476" spans="1:19" x14ac:dyDescent="0.25">
      <c r="A476" s="2"/>
      <c r="F476" s="29"/>
      <c r="H476" s="1" t="str">
        <f t="shared" ca="1" si="21"/>
        <v/>
      </c>
      <c r="M476" s="2"/>
      <c r="N476" s="1" t="str">
        <f t="shared" si="22"/>
        <v/>
      </c>
      <c r="O476" s="2"/>
      <c r="P476" s="2"/>
      <c r="Q476" s="2"/>
      <c r="R476" s="2"/>
      <c r="S476" s="1" t="str">
        <f t="shared" si="23"/>
        <v/>
      </c>
    </row>
    <row r="477" spans="1:19" x14ac:dyDescent="0.25">
      <c r="A477" s="2"/>
      <c r="F477" s="29"/>
      <c r="H477" s="1" t="str">
        <f t="shared" ca="1" si="21"/>
        <v/>
      </c>
      <c r="M477" s="2"/>
      <c r="N477" s="1" t="str">
        <f t="shared" si="22"/>
        <v/>
      </c>
      <c r="O477" s="2"/>
      <c r="P477" s="2"/>
      <c r="Q477" s="2"/>
      <c r="R477" s="2"/>
      <c r="S477" s="1" t="str">
        <f t="shared" si="23"/>
        <v/>
      </c>
    </row>
    <row r="478" spans="1:19" x14ac:dyDescent="0.25">
      <c r="A478" s="2"/>
      <c r="F478" s="29"/>
      <c r="H478" s="1" t="str">
        <f t="shared" ca="1" si="21"/>
        <v/>
      </c>
      <c r="M478" s="2"/>
      <c r="N478" s="1" t="str">
        <f t="shared" si="22"/>
        <v/>
      </c>
      <c r="O478" s="2"/>
      <c r="P478" s="2"/>
      <c r="Q478" s="2"/>
      <c r="R478" s="2"/>
      <c r="S478" s="1" t="str">
        <f t="shared" si="23"/>
        <v/>
      </c>
    </row>
    <row r="479" spans="1:19" x14ac:dyDescent="0.25">
      <c r="A479" s="2"/>
      <c r="F479" s="29"/>
      <c r="H479" s="1" t="str">
        <f t="shared" ca="1" si="21"/>
        <v/>
      </c>
      <c r="M479" s="2"/>
      <c r="N479" s="1" t="str">
        <f t="shared" si="22"/>
        <v/>
      </c>
      <c r="O479" s="2"/>
      <c r="P479" s="2"/>
      <c r="Q479" s="2"/>
      <c r="R479" s="2"/>
      <c r="S479" s="1" t="str">
        <f t="shared" si="23"/>
        <v/>
      </c>
    </row>
    <row r="480" spans="1:19" x14ac:dyDescent="0.25">
      <c r="A480" s="2"/>
      <c r="F480" s="29"/>
      <c r="H480" s="1" t="str">
        <f t="shared" ca="1" si="21"/>
        <v/>
      </c>
      <c r="M480" s="2"/>
      <c r="N480" s="1" t="str">
        <f t="shared" si="22"/>
        <v/>
      </c>
      <c r="O480" s="2"/>
      <c r="P480" s="2"/>
      <c r="Q480" s="2"/>
      <c r="R480" s="2"/>
      <c r="S480" s="1" t="str">
        <f t="shared" si="23"/>
        <v/>
      </c>
    </row>
    <row r="481" spans="1:19" x14ac:dyDescent="0.25">
      <c r="A481" s="2"/>
      <c r="F481" s="29"/>
      <c r="H481" s="1" t="str">
        <f t="shared" ca="1" si="21"/>
        <v/>
      </c>
      <c r="M481" s="2"/>
      <c r="N481" s="1" t="str">
        <f t="shared" si="22"/>
        <v/>
      </c>
      <c r="O481" s="2"/>
      <c r="P481" s="2"/>
      <c r="Q481" s="2"/>
      <c r="R481" s="2"/>
      <c r="S481" s="1" t="str">
        <f t="shared" si="23"/>
        <v/>
      </c>
    </row>
    <row r="482" spans="1:19" x14ac:dyDescent="0.25">
      <c r="A482" s="2"/>
      <c r="F482" s="29"/>
      <c r="H482" s="1" t="str">
        <f t="shared" ca="1" si="21"/>
        <v/>
      </c>
      <c r="M482" s="2"/>
      <c r="N482" s="1" t="str">
        <f t="shared" si="22"/>
        <v/>
      </c>
      <c r="O482" s="2"/>
      <c r="P482" s="2"/>
      <c r="Q482" s="2"/>
      <c r="R482" s="2"/>
      <c r="S482" s="1" t="str">
        <f t="shared" si="23"/>
        <v/>
      </c>
    </row>
    <row r="483" spans="1:19" x14ac:dyDescent="0.25">
      <c r="A483" s="2"/>
      <c r="F483" s="29"/>
      <c r="H483" s="1" t="str">
        <f t="shared" ca="1" si="21"/>
        <v/>
      </c>
      <c r="M483" s="2"/>
      <c r="N483" s="1" t="str">
        <f t="shared" si="22"/>
        <v/>
      </c>
      <c r="O483" s="2"/>
      <c r="P483" s="2"/>
      <c r="Q483" s="2"/>
      <c r="R483" s="2"/>
      <c r="S483" s="1" t="str">
        <f t="shared" si="23"/>
        <v/>
      </c>
    </row>
    <row r="484" spans="1:19" x14ac:dyDescent="0.25">
      <c r="A484" s="2"/>
      <c r="F484" s="29"/>
      <c r="H484" s="1" t="str">
        <f t="shared" ca="1" si="21"/>
        <v/>
      </c>
      <c r="M484" s="2"/>
      <c r="N484" s="1" t="str">
        <f t="shared" si="22"/>
        <v/>
      </c>
      <c r="O484" s="2"/>
      <c r="P484" s="2"/>
      <c r="Q484" s="2"/>
      <c r="R484" s="2"/>
      <c r="S484" s="1" t="str">
        <f t="shared" si="23"/>
        <v/>
      </c>
    </row>
    <row r="485" spans="1:19" x14ac:dyDescent="0.25">
      <c r="A485" s="2"/>
      <c r="F485" s="29"/>
      <c r="H485" s="1" t="str">
        <f t="shared" ca="1" si="21"/>
        <v/>
      </c>
      <c r="M485" s="2"/>
      <c r="N485" s="1" t="str">
        <f t="shared" si="22"/>
        <v/>
      </c>
      <c r="O485" s="2"/>
      <c r="P485" s="2"/>
      <c r="Q485" s="2"/>
      <c r="R485" s="2"/>
      <c r="S485" s="1" t="str">
        <f t="shared" si="23"/>
        <v/>
      </c>
    </row>
    <row r="486" spans="1:19" x14ac:dyDescent="0.25">
      <c r="A486" s="2"/>
      <c r="F486" s="29"/>
      <c r="H486" s="1" t="str">
        <f t="shared" ca="1" si="21"/>
        <v/>
      </c>
      <c r="M486" s="2"/>
      <c r="N486" s="1" t="str">
        <f t="shared" si="22"/>
        <v/>
      </c>
      <c r="O486" s="2"/>
      <c r="P486" s="2"/>
      <c r="Q486" s="2"/>
      <c r="R486" s="2"/>
      <c r="S486" s="1" t="str">
        <f t="shared" si="23"/>
        <v/>
      </c>
    </row>
    <row r="487" spans="1:19" x14ac:dyDescent="0.25">
      <c r="A487" s="2"/>
      <c r="F487" s="29"/>
      <c r="H487" s="1" t="str">
        <f t="shared" ca="1" si="21"/>
        <v/>
      </c>
      <c r="M487" s="2"/>
      <c r="N487" s="1" t="str">
        <f t="shared" si="22"/>
        <v/>
      </c>
      <c r="O487" s="2"/>
      <c r="P487" s="2"/>
      <c r="Q487" s="2"/>
      <c r="R487" s="2"/>
      <c r="S487" s="1" t="str">
        <f t="shared" si="23"/>
        <v/>
      </c>
    </row>
    <row r="488" spans="1:19" x14ac:dyDescent="0.25">
      <c r="A488" s="2"/>
      <c r="F488" s="29"/>
      <c r="H488" s="1" t="str">
        <f t="shared" ca="1" si="21"/>
        <v/>
      </c>
      <c r="M488" s="2"/>
      <c r="N488" s="1" t="str">
        <f t="shared" si="22"/>
        <v/>
      </c>
      <c r="O488" s="2"/>
      <c r="P488" s="2"/>
      <c r="Q488" s="2"/>
      <c r="R488" s="2"/>
      <c r="S488" s="1" t="str">
        <f t="shared" si="23"/>
        <v/>
      </c>
    </row>
    <row r="489" spans="1:19" x14ac:dyDescent="0.25">
      <c r="A489" s="2"/>
      <c r="F489" s="29"/>
      <c r="H489" s="1" t="str">
        <f t="shared" ca="1" si="21"/>
        <v/>
      </c>
      <c r="M489" s="2"/>
      <c r="N489" s="1" t="str">
        <f t="shared" si="22"/>
        <v/>
      </c>
      <c r="O489" s="2"/>
      <c r="P489" s="2"/>
      <c r="Q489" s="2"/>
      <c r="R489" s="2"/>
      <c r="S489" s="1" t="str">
        <f t="shared" si="23"/>
        <v/>
      </c>
    </row>
    <row r="490" spans="1:19" x14ac:dyDescent="0.25">
      <c r="A490" s="2"/>
      <c r="F490" s="29"/>
      <c r="H490" s="1" t="str">
        <f t="shared" ca="1" si="21"/>
        <v/>
      </c>
      <c r="M490" s="2"/>
      <c r="N490" s="1" t="str">
        <f t="shared" si="22"/>
        <v/>
      </c>
      <c r="O490" s="2"/>
      <c r="P490" s="2"/>
      <c r="Q490" s="2"/>
      <c r="R490" s="2"/>
      <c r="S490" s="1" t="str">
        <f t="shared" si="23"/>
        <v/>
      </c>
    </row>
    <row r="491" spans="1:19" x14ac:dyDescent="0.25">
      <c r="A491" s="2"/>
      <c r="F491" s="29"/>
      <c r="H491" s="1" t="str">
        <f t="shared" ca="1" si="21"/>
        <v/>
      </c>
      <c r="M491" s="2"/>
      <c r="N491" s="1" t="str">
        <f t="shared" si="22"/>
        <v/>
      </c>
      <c r="O491" s="2"/>
      <c r="P491" s="2"/>
      <c r="Q491" s="2"/>
      <c r="R491" s="2"/>
      <c r="S491" s="1" t="str">
        <f t="shared" si="23"/>
        <v/>
      </c>
    </row>
    <row r="492" spans="1:19" x14ac:dyDescent="0.25">
      <c r="A492" s="2"/>
      <c r="F492" s="29"/>
      <c r="H492" s="1" t="str">
        <f t="shared" ca="1" si="21"/>
        <v/>
      </c>
      <c r="M492" s="2"/>
      <c r="N492" s="1" t="str">
        <f t="shared" si="22"/>
        <v/>
      </c>
      <c r="O492" s="2"/>
      <c r="P492" s="2"/>
      <c r="Q492" s="2"/>
      <c r="R492" s="2"/>
      <c r="S492" s="1" t="str">
        <f t="shared" si="23"/>
        <v/>
      </c>
    </row>
    <row r="493" spans="1:19" x14ac:dyDescent="0.25">
      <c r="A493" s="2"/>
      <c r="F493" s="29"/>
      <c r="H493" s="1" t="str">
        <f t="shared" ca="1" si="21"/>
        <v/>
      </c>
      <c r="M493" s="2"/>
      <c r="N493" s="1" t="str">
        <f t="shared" si="22"/>
        <v/>
      </c>
      <c r="O493" s="2"/>
      <c r="P493" s="2"/>
      <c r="Q493" s="2"/>
      <c r="R493" s="2"/>
      <c r="S493" s="1" t="str">
        <f t="shared" si="23"/>
        <v/>
      </c>
    </row>
    <row r="494" spans="1:19" x14ac:dyDescent="0.25">
      <c r="A494" s="2"/>
      <c r="F494" s="29"/>
      <c r="H494" s="1" t="str">
        <f t="shared" ca="1" si="21"/>
        <v/>
      </c>
      <c r="M494" s="2"/>
      <c r="N494" s="1" t="str">
        <f t="shared" si="22"/>
        <v/>
      </c>
      <c r="O494" s="2"/>
      <c r="P494" s="2"/>
      <c r="Q494" s="2"/>
      <c r="R494" s="2"/>
      <c r="S494" s="1" t="str">
        <f t="shared" si="23"/>
        <v/>
      </c>
    </row>
    <row r="495" spans="1:19" x14ac:dyDescent="0.25">
      <c r="A495" s="2"/>
      <c r="F495" s="29"/>
      <c r="H495" s="1" t="str">
        <f t="shared" ca="1" si="21"/>
        <v/>
      </c>
      <c r="M495" s="2"/>
      <c r="N495" s="1" t="str">
        <f t="shared" si="22"/>
        <v/>
      </c>
      <c r="O495" s="2"/>
      <c r="P495" s="2"/>
      <c r="Q495" s="2"/>
      <c r="R495" s="2"/>
      <c r="S495" s="1" t="str">
        <f t="shared" si="23"/>
        <v/>
      </c>
    </row>
    <row r="496" spans="1:19" x14ac:dyDescent="0.25">
      <c r="A496" s="2"/>
      <c r="F496" s="29"/>
      <c r="H496" s="1" t="str">
        <f t="shared" ca="1" si="21"/>
        <v/>
      </c>
      <c r="M496" s="2"/>
      <c r="N496" s="1" t="str">
        <f t="shared" si="22"/>
        <v/>
      </c>
      <c r="O496" s="2"/>
      <c r="P496" s="2"/>
      <c r="Q496" s="2"/>
      <c r="R496" s="2"/>
      <c r="S496" s="1" t="str">
        <f t="shared" si="23"/>
        <v/>
      </c>
    </row>
    <row r="497" spans="1:19" x14ac:dyDescent="0.25">
      <c r="A497" s="2"/>
      <c r="F497" s="29"/>
      <c r="H497" s="1" t="str">
        <f t="shared" ca="1" si="21"/>
        <v/>
      </c>
      <c r="M497" s="2"/>
      <c r="N497" s="1" t="str">
        <f t="shared" si="22"/>
        <v/>
      </c>
      <c r="O497" s="2"/>
      <c r="P497" s="2"/>
      <c r="Q497" s="2"/>
      <c r="R497" s="2"/>
      <c r="S497" s="1" t="str">
        <f t="shared" si="23"/>
        <v/>
      </c>
    </row>
    <row r="498" spans="1:19" x14ac:dyDescent="0.25">
      <c r="A498" s="2"/>
      <c r="F498" s="29"/>
      <c r="H498" s="1" t="str">
        <f t="shared" ca="1" si="21"/>
        <v/>
      </c>
      <c r="M498" s="2"/>
      <c r="N498" s="1" t="str">
        <f t="shared" si="22"/>
        <v/>
      </c>
      <c r="O498" s="2"/>
      <c r="P498" s="2"/>
      <c r="Q498" s="2"/>
      <c r="R498" s="2"/>
      <c r="S498" s="1" t="str">
        <f t="shared" si="23"/>
        <v/>
      </c>
    </row>
    <row r="499" spans="1:19" x14ac:dyDescent="0.25">
      <c r="A499" s="2"/>
      <c r="F499" s="29"/>
      <c r="H499" s="1" t="str">
        <f t="shared" ca="1" si="21"/>
        <v/>
      </c>
      <c r="M499" s="2"/>
      <c r="N499" s="1" t="str">
        <f t="shared" si="22"/>
        <v/>
      </c>
      <c r="O499" s="2"/>
      <c r="P499" s="2"/>
      <c r="Q499" s="2"/>
      <c r="R499" s="2"/>
      <c r="S499" s="1" t="str">
        <f t="shared" si="23"/>
        <v/>
      </c>
    </row>
    <row r="500" spans="1:19" x14ac:dyDescent="0.25">
      <c r="A500" s="2"/>
      <c r="F500" s="29"/>
      <c r="H500" s="1" t="str">
        <f t="shared" ca="1" si="21"/>
        <v/>
      </c>
      <c r="M500" s="2"/>
      <c r="N500" s="1" t="str">
        <f t="shared" si="22"/>
        <v/>
      </c>
      <c r="O500" s="2"/>
      <c r="P500" s="2"/>
      <c r="Q500" s="2"/>
      <c r="R500" s="2"/>
      <c r="S500" s="1" t="str">
        <f t="shared" si="23"/>
        <v/>
      </c>
    </row>
    <row r="501" spans="1:19" x14ac:dyDescent="0.25">
      <c r="A501" s="2"/>
      <c r="F501" s="29"/>
      <c r="H501" s="1" t="str">
        <f t="shared" ca="1" si="21"/>
        <v/>
      </c>
      <c r="M501" s="2"/>
      <c r="N501" s="1" t="str">
        <f t="shared" si="22"/>
        <v/>
      </c>
      <c r="O501" s="2"/>
      <c r="P501" s="2"/>
      <c r="Q501" s="2"/>
      <c r="R501" s="2"/>
      <c r="S501" s="1" t="str">
        <f t="shared" si="23"/>
        <v/>
      </c>
    </row>
    <row r="502" spans="1:19" x14ac:dyDescent="0.25">
      <c r="A502" s="2"/>
      <c r="F502" s="29"/>
      <c r="H502" s="1" t="str">
        <f t="shared" ca="1" si="21"/>
        <v/>
      </c>
      <c r="M502" s="2"/>
      <c r="N502" s="1" t="str">
        <f t="shared" si="22"/>
        <v/>
      </c>
      <c r="O502" s="2"/>
      <c r="P502" s="2"/>
      <c r="Q502" s="2"/>
      <c r="R502" s="2"/>
      <c r="S502" s="1" t="str">
        <f t="shared" si="23"/>
        <v/>
      </c>
    </row>
    <row r="503" spans="1:19" x14ac:dyDescent="0.25">
      <c r="A503" s="2"/>
      <c r="F503" s="29"/>
      <c r="H503" s="1" t="str">
        <f t="shared" ca="1" si="21"/>
        <v/>
      </c>
      <c r="M503" s="2"/>
      <c r="N503" s="1" t="str">
        <f t="shared" si="22"/>
        <v/>
      </c>
      <c r="O503" s="2"/>
      <c r="P503" s="2"/>
      <c r="Q503" s="2"/>
      <c r="R503" s="2"/>
      <c r="S503" s="1" t="str">
        <f t="shared" si="23"/>
        <v/>
      </c>
    </row>
    <row r="504" spans="1:19" x14ac:dyDescent="0.25">
      <c r="A504" s="2"/>
      <c r="F504" s="29"/>
      <c r="H504" s="1" t="str">
        <f t="shared" ca="1" si="21"/>
        <v/>
      </c>
      <c r="M504" s="2"/>
      <c r="N504" s="1" t="str">
        <f t="shared" si="22"/>
        <v/>
      </c>
      <c r="O504" s="2"/>
      <c r="P504" s="2"/>
      <c r="Q504" s="2"/>
      <c r="R504" s="2"/>
      <c r="S504" s="1" t="str">
        <f t="shared" si="23"/>
        <v/>
      </c>
    </row>
    <row r="505" spans="1:19" x14ac:dyDescent="0.25">
      <c r="A505" s="2"/>
      <c r="F505" s="29"/>
      <c r="H505" s="1" t="str">
        <f t="shared" ca="1" si="21"/>
        <v/>
      </c>
      <c r="M505" s="2"/>
      <c r="N505" s="1" t="str">
        <f t="shared" si="22"/>
        <v/>
      </c>
      <c r="O505" s="2"/>
      <c r="P505" s="2"/>
      <c r="Q505" s="2"/>
      <c r="R505" s="2"/>
      <c r="S505" s="1" t="str">
        <f t="shared" si="23"/>
        <v/>
      </c>
    </row>
    <row r="506" spans="1:19" x14ac:dyDescent="0.25">
      <c r="A506" s="2"/>
      <c r="F506" s="29"/>
      <c r="H506" s="1" t="str">
        <f t="shared" ca="1" si="21"/>
        <v/>
      </c>
      <c r="M506" s="2"/>
      <c r="N506" s="1" t="str">
        <f t="shared" si="22"/>
        <v/>
      </c>
      <c r="O506" s="2"/>
      <c r="P506" s="2"/>
      <c r="Q506" s="2"/>
      <c r="R506" s="2"/>
      <c r="S506" s="1" t="str">
        <f t="shared" si="23"/>
        <v/>
      </c>
    </row>
    <row r="507" spans="1:19" x14ac:dyDescent="0.25">
      <c r="A507" s="2"/>
      <c r="F507" s="29"/>
      <c r="H507" s="1" t="str">
        <f t="shared" ca="1" si="21"/>
        <v/>
      </c>
      <c r="M507" s="2"/>
      <c r="N507" s="1" t="str">
        <f t="shared" si="22"/>
        <v/>
      </c>
      <c r="O507" s="2"/>
      <c r="P507" s="2"/>
      <c r="Q507" s="2"/>
      <c r="R507" s="2"/>
      <c r="S507" s="1" t="str">
        <f t="shared" si="23"/>
        <v/>
      </c>
    </row>
    <row r="508" spans="1:19" x14ac:dyDescent="0.25">
      <c r="A508" s="2"/>
      <c r="F508" s="29"/>
      <c r="H508" s="1" t="str">
        <f t="shared" ref="H508:H571" ca="1" si="24">IF(A508="","",IF(ISNUMBER(M508),M508-A508,TODAY()-A508))</f>
        <v/>
      </c>
      <c r="M508" s="2"/>
      <c r="N508" s="1" t="str">
        <f t="shared" ref="N508:N571" si="25">IF(M508="","",IF(ISNUMBER(M508),"Closed","Open"))</f>
        <v/>
      </c>
      <c r="O508" s="2"/>
      <c r="P508" s="2"/>
      <c r="Q508" s="2"/>
      <c r="R508" s="2"/>
      <c r="S508" s="1" t="str">
        <f t="shared" ref="S508:S571" si="26">IF(Q508="","",R508-Q508)</f>
        <v/>
      </c>
    </row>
    <row r="509" spans="1:19" x14ac:dyDescent="0.25">
      <c r="A509" s="2"/>
      <c r="F509" s="29"/>
      <c r="H509" s="1" t="str">
        <f t="shared" ca="1" si="24"/>
        <v/>
      </c>
      <c r="M509" s="2"/>
      <c r="N509" s="1" t="str">
        <f t="shared" si="25"/>
        <v/>
      </c>
      <c r="O509" s="2"/>
      <c r="P509" s="2"/>
      <c r="Q509" s="2"/>
      <c r="R509" s="2"/>
      <c r="S509" s="1" t="str">
        <f t="shared" si="26"/>
        <v/>
      </c>
    </row>
    <row r="510" spans="1:19" x14ac:dyDescent="0.25">
      <c r="A510" s="2"/>
      <c r="F510" s="29"/>
      <c r="H510" s="1" t="str">
        <f t="shared" ca="1" si="24"/>
        <v/>
      </c>
      <c r="M510" s="2"/>
      <c r="N510" s="1" t="str">
        <f t="shared" si="25"/>
        <v/>
      </c>
      <c r="O510" s="2"/>
      <c r="P510" s="2"/>
      <c r="Q510" s="2"/>
      <c r="R510" s="2"/>
      <c r="S510" s="1" t="str">
        <f t="shared" si="26"/>
        <v/>
      </c>
    </row>
    <row r="511" spans="1:19" x14ac:dyDescent="0.25">
      <c r="A511" s="2"/>
      <c r="F511" s="29"/>
      <c r="H511" s="1" t="str">
        <f t="shared" ca="1" si="24"/>
        <v/>
      </c>
      <c r="M511" s="2"/>
      <c r="N511" s="1" t="str">
        <f t="shared" si="25"/>
        <v/>
      </c>
      <c r="O511" s="2"/>
      <c r="P511" s="2"/>
      <c r="Q511" s="2"/>
      <c r="R511" s="2"/>
      <c r="S511" s="1" t="str">
        <f t="shared" si="26"/>
        <v/>
      </c>
    </row>
    <row r="512" spans="1:19" x14ac:dyDescent="0.25">
      <c r="A512" s="2"/>
      <c r="F512" s="29"/>
      <c r="H512" s="1" t="str">
        <f t="shared" ca="1" si="24"/>
        <v/>
      </c>
      <c r="M512" s="2"/>
      <c r="N512" s="1" t="str">
        <f t="shared" si="25"/>
        <v/>
      </c>
      <c r="O512" s="2"/>
      <c r="P512" s="2"/>
      <c r="Q512" s="2"/>
      <c r="R512" s="2"/>
      <c r="S512" s="1" t="str">
        <f t="shared" si="26"/>
        <v/>
      </c>
    </row>
    <row r="513" spans="1:19" x14ac:dyDescent="0.25">
      <c r="A513" s="2"/>
      <c r="F513" s="29"/>
      <c r="H513" s="1" t="str">
        <f t="shared" ca="1" si="24"/>
        <v/>
      </c>
      <c r="M513" s="2"/>
      <c r="N513" s="1" t="str">
        <f t="shared" si="25"/>
        <v/>
      </c>
      <c r="O513" s="2"/>
      <c r="P513" s="2"/>
      <c r="Q513" s="2"/>
      <c r="R513" s="2"/>
      <c r="S513" s="1" t="str">
        <f t="shared" si="26"/>
        <v/>
      </c>
    </row>
    <row r="514" spans="1:19" x14ac:dyDescent="0.25">
      <c r="A514" s="2"/>
      <c r="F514" s="29"/>
      <c r="H514" s="1" t="str">
        <f t="shared" ca="1" si="24"/>
        <v/>
      </c>
      <c r="M514" s="2"/>
      <c r="N514" s="1" t="str">
        <f t="shared" si="25"/>
        <v/>
      </c>
      <c r="O514" s="2"/>
      <c r="P514" s="2"/>
      <c r="Q514" s="2"/>
      <c r="R514" s="2"/>
      <c r="S514" s="1" t="str">
        <f t="shared" si="26"/>
        <v/>
      </c>
    </row>
    <row r="515" spans="1:19" x14ac:dyDescent="0.25">
      <c r="A515" s="2"/>
      <c r="F515" s="29"/>
      <c r="H515" s="1" t="str">
        <f t="shared" ca="1" si="24"/>
        <v/>
      </c>
      <c r="M515" s="2"/>
      <c r="N515" s="1" t="str">
        <f t="shared" si="25"/>
        <v/>
      </c>
      <c r="O515" s="2"/>
      <c r="P515" s="2"/>
      <c r="Q515" s="2"/>
      <c r="R515" s="2"/>
      <c r="S515" s="1" t="str">
        <f t="shared" si="26"/>
        <v/>
      </c>
    </row>
    <row r="516" spans="1:19" x14ac:dyDescent="0.25">
      <c r="A516" s="2"/>
      <c r="F516" s="29"/>
      <c r="H516" s="1" t="str">
        <f t="shared" ca="1" si="24"/>
        <v/>
      </c>
      <c r="M516" s="2"/>
      <c r="N516" s="1" t="str">
        <f t="shared" si="25"/>
        <v/>
      </c>
      <c r="O516" s="2"/>
      <c r="P516" s="2"/>
      <c r="Q516" s="2"/>
      <c r="R516" s="2"/>
      <c r="S516" s="1" t="str">
        <f t="shared" si="26"/>
        <v/>
      </c>
    </row>
    <row r="517" spans="1:19" x14ac:dyDescent="0.25">
      <c r="A517" s="2"/>
      <c r="F517" s="29"/>
      <c r="H517" s="1" t="str">
        <f t="shared" ca="1" si="24"/>
        <v/>
      </c>
      <c r="M517" s="2"/>
      <c r="N517" s="1" t="str">
        <f t="shared" si="25"/>
        <v/>
      </c>
      <c r="O517" s="2"/>
      <c r="P517" s="2"/>
      <c r="Q517" s="2"/>
      <c r="R517" s="2"/>
      <c r="S517" s="1" t="str">
        <f t="shared" si="26"/>
        <v/>
      </c>
    </row>
    <row r="518" spans="1:19" x14ac:dyDescent="0.25">
      <c r="A518" s="2"/>
      <c r="F518" s="29"/>
      <c r="H518" s="1" t="str">
        <f t="shared" ca="1" si="24"/>
        <v/>
      </c>
      <c r="M518" s="2"/>
      <c r="N518" s="1" t="str">
        <f t="shared" si="25"/>
        <v/>
      </c>
      <c r="O518" s="2"/>
      <c r="P518" s="2"/>
      <c r="Q518" s="2"/>
      <c r="R518" s="2"/>
      <c r="S518" s="1" t="str">
        <f t="shared" si="26"/>
        <v/>
      </c>
    </row>
    <row r="519" spans="1:19" x14ac:dyDescent="0.25">
      <c r="A519" s="2"/>
      <c r="F519" s="29"/>
      <c r="H519" s="1" t="str">
        <f t="shared" ca="1" si="24"/>
        <v/>
      </c>
      <c r="M519" s="2"/>
      <c r="N519" s="1" t="str">
        <f t="shared" si="25"/>
        <v/>
      </c>
      <c r="O519" s="2"/>
      <c r="P519" s="2"/>
      <c r="Q519" s="2"/>
      <c r="R519" s="2"/>
      <c r="S519" s="1" t="str">
        <f t="shared" si="26"/>
        <v/>
      </c>
    </row>
    <row r="520" spans="1:19" x14ac:dyDescent="0.25">
      <c r="A520" s="2"/>
      <c r="F520" s="29"/>
      <c r="H520" s="1" t="str">
        <f t="shared" ca="1" si="24"/>
        <v/>
      </c>
      <c r="M520" s="2"/>
      <c r="N520" s="1" t="str">
        <f t="shared" si="25"/>
        <v/>
      </c>
      <c r="O520" s="2"/>
      <c r="P520" s="2"/>
      <c r="Q520" s="2"/>
      <c r="R520" s="2"/>
      <c r="S520" s="1" t="str">
        <f t="shared" si="26"/>
        <v/>
      </c>
    </row>
    <row r="521" spans="1:19" x14ac:dyDescent="0.25">
      <c r="A521" s="2"/>
      <c r="F521" s="29"/>
      <c r="H521" s="1" t="str">
        <f t="shared" ca="1" si="24"/>
        <v/>
      </c>
      <c r="M521" s="2"/>
      <c r="N521" s="1" t="str">
        <f t="shared" si="25"/>
        <v/>
      </c>
      <c r="O521" s="2"/>
      <c r="P521" s="2"/>
      <c r="Q521" s="2"/>
      <c r="R521" s="2"/>
      <c r="S521" s="1" t="str">
        <f t="shared" si="26"/>
        <v/>
      </c>
    </row>
    <row r="522" spans="1:19" x14ac:dyDescent="0.25">
      <c r="A522" s="2"/>
      <c r="F522" s="29"/>
      <c r="H522" s="1" t="str">
        <f t="shared" ca="1" si="24"/>
        <v/>
      </c>
      <c r="M522" s="2"/>
      <c r="N522" s="1" t="str">
        <f t="shared" si="25"/>
        <v/>
      </c>
      <c r="O522" s="2"/>
      <c r="P522" s="2"/>
      <c r="Q522" s="2"/>
      <c r="R522" s="2"/>
      <c r="S522" s="1" t="str">
        <f t="shared" si="26"/>
        <v/>
      </c>
    </row>
    <row r="523" spans="1:19" x14ac:dyDescent="0.25">
      <c r="A523" s="2"/>
      <c r="F523" s="29"/>
      <c r="H523" s="1" t="str">
        <f t="shared" ca="1" si="24"/>
        <v/>
      </c>
      <c r="M523" s="2"/>
      <c r="N523" s="1" t="str">
        <f t="shared" si="25"/>
        <v/>
      </c>
      <c r="O523" s="2"/>
      <c r="P523" s="2"/>
      <c r="Q523" s="2"/>
      <c r="R523" s="2"/>
      <c r="S523" s="1" t="str">
        <f t="shared" si="26"/>
        <v/>
      </c>
    </row>
    <row r="524" spans="1:19" x14ac:dyDescent="0.25">
      <c r="A524" s="2"/>
      <c r="F524" s="29"/>
      <c r="H524" s="1" t="str">
        <f t="shared" ca="1" si="24"/>
        <v/>
      </c>
      <c r="M524" s="2"/>
      <c r="N524" s="1" t="str">
        <f t="shared" si="25"/>
        <v/>
      </c>
      <c r="O524" s="2"/>
      <c r="P524" s="2"/>
      <c r="Q524" s="2"/>
      <c r="R524" s="2"/>
      <c r="S524" s="1" t="str">
        <f t="shared" si="26"/>
        <v/>
      </c>
    </row>
    <row r="525" spans="1:19" x14ac:dyDescent="0.25">
      <c r="A525" s="2"/>
      <c r="F525" s="29"/>
      <c r="H525" s="1" t="str">
        <f t="shared" ca="1" si="24"/>
        <v/>
      </c>
      <c r="M525" s="2"/>
      <c r="N525" s="1" t="str">
        <f t="shared" si="25"/>
        <v/>
      </c>
      <c r="O525" s="2"/>
      <c r="P525" s="2"/>
      <c r="Q525" s="2"/>
      <c r="R525" s="2"/>
      <c r="S525" s="1" t="str">
        <f t="shared" si="26"/>
        <v/>
      </c>
    </row>
    <row r="526" spans="1:19" x14ac:dyDescent="0.25">
      <c r="A526" s="2"/>
      <c r="F526" s="29"/>
      <c r="H526" s="1" t="str">
        <f t="shared" ca="1" si="24"/>
        <v/>
      </c>
      <c r="M526" s="2"/>
      <c r="N526" s="1" t="str">
        <f t="shared" si="25"/>
        <v/>
      </c>
      <c r="O526" s="2"/>
      <c r="P526" s="2"/>
      <c r="Q526" s="2"/>
      <c r="R526" s="2"/>
      <c r="S526" s="1" t="str">
        <f t="shared" si="26"/>
        <v/>
      </c>
    </row>
    <row r="527" spans="1:19" x14ac:dyDescent="0.25">
      <c r="A527" s="2"/>
      <c r="F527" s="29"/>
      <c r="H527" s="1" t="str">
        <f t="shared" ca="1" si="24"/>
        <v/>
      </c>
      <c r="M527" s="2"/>
      <c r="N527" s="1" t="str">
        <f t="shared" si="25"/>
        <v/>
      </c>
      <c r="O527" s="2"/>
      <c r="P527" s="2"/>
      <c r="Q527" s="2"/>
      <c r="R527" s="2"/>
      <c r="S527" s="1" t="str">
        <f t="shared" si="26"/>
        <v/>
      </c>
    </row>
    <row r="528" spans="1:19" x14ac:dyDescent="0.25">
      <c r="A528" s="2"/>
      <c r="F528" s="29"/>
      <c r="H528" s="1" t="str">
        <f t="shared" ca="1" si="24"/>
        <v/>
      </c>
      <c r="M528" s="2"/>
      <c r="N528" s="1" t="str">
        <f t="shared" si="25"/>
        <v/>
      </c>
      <c r="O528" s="2"/>
      <c r="P528" s="2"/>
      <c r="Q528" s="2"/>
      <c r="R528" s="2"/>
      <c r="S528" s="1" t="str">
        <f t="shared" si="26"/>
        <v/>
      </c>
    </row>
    <row r="529" spans="1:19" x14ac:dyDescent="0.25">
      <c r="A529" s="2"/>
      <c r="F529" s="29"/>
      <c r="H529" s="1" t="str">
        <f t="shared" ca="1" si="24"/>
        <v/>
      </c>
      <c r="M529" s="2"/>
      <c r="N529" s="1" t="str">
        <f t="shared" si="25"/>
        <v/>
      </c>
      <c r="O529" s="2"/>
      <c r="P529" s="2"/>
      <c r="Q529" s="2"/>
      <c r="R529" s="2"/>
      <c r="S529" s="1" t="str">
        <f t="shared" si="26"/>
        <v/>
      </c>
    </row>
    <row r="530" spans="1:19" x14ac:dyDescent="0.25">
      <c r="A530" s="2"/>
      <c r="F530" s="29"/>
      <c r="H530" s="1" t="str">
        <f t="shared" ca="1" si="24"/>
        <v/>
      </c>
      <c r="M530" s="2"/>
      <c r="N530" s="1" t="str">
        <f t="shared" si="25"/>
        <v/>
      </c>
      <c r="O530" s="2"/>
      <c r="P530" s="2"/>
      <c r="Q530" s="2"/>
      <c r="R530" s="2"/>
      <c r="S530" s="1" t="str">
        <f t="shared" si="26"/>
        <v/>
      </c>
    </row>
    <row r="531" spans="1:19" x14ac:dyDescent="0.25">
      <c r="A531" s="2"/>
      <c r="F531" s="29"/>
      <c r="H531" s="1" t="str">
        <f t="shared" ca="1" si="24"/>
        <v/>
      </c>
      <c r="M531" s="2"/>
      <c r="N531" s="1" t="str">
        <f t="shared" si="25"/>
        <v/>
      </c>
      <c r="O531" s="2"/>
      <c r="P531" s="2"/>
      <c r="Q531" s="2"/>
      <c r="R531" s="2"/>
      <c r="S531" s="1" t="str">
        <f t="shared" si="26"/>
        <v/>
      </c>
    </row>
    <row r="532" spans="1:19" x14ac:dyDescent="0.25">
      <c r="A532" s="2"/>
      <c r="F532" s="29"/>
      <c r="H532" s="1" t="str">
        <f t="shared" ca="1" si="24"/>
        <v/>
      </c>
      <c r="M532" s="2"/>
      <c r="N532" s="1" t="str">
        <f t="shared" si="25"/>
        <v/>
      </c>
      <c r="O532" s="2"/>
      <c r="P532" s="2"/>
      <c r="Q532" s="2"/>
      <c r="R532" s="2"/>
      <c r="S532" s="1" t="str">
        <f t="shared" si="26"/>
        <v/>
      </c>
    </row>
    <row r="533" spans="1:19" x14ac:dyDescent="0.25">
      <c r="A533" s="2"/>
      <c r="F533" s="29"/>
      <c r="H533" s="1" t="str">
        <f t="shared" ca="1" si="24"/>
        <v/>
      </c>
      <c r="M533" s="2"/>
      <c r="N533" s="1" t="str">
        <f t="shared" si="25"/>
        <v/>
      </c>
      <c r="O533" s="2"/>
      <c r="P533" s="2"/>
      <c r="Q533" s="2"/>
      <c r="R533" s="2"/>
      <c r="S533" s="1" t="str">
        <f t="shared" si="26"/>
        <v/>
      </c>
    </row>
    <row r="534" spans="1:19" x14ac:dyDescent="0.25">
      <c r="A534" s="2"/>
      <c r="F534" s="29"/>
      <c r="H534" s="1" t="str">
        <f t="shared" ca="1" si="24"/>
        <v/>
      </c>
      <c r="M534" s="2"/>
      <c r="N534" s="1" t="str">
        <f t="shared" si="25"/>
        <v/>
      </c>
      <c r="O534" s="2"/>
      <c r="P534" s="2"/>
      <c r="Q534" s="2"/>
      <c r="R534" s="2"/>
      <c r="S534" s="1" t="str">
        <f t="shared" si="26"/>
        <v/>
      </c>
    </row>
    <row r="535" spans="1:19" x14ac:dyDescent="0.25">
      <c r="A535" s="2"/>
      <c r="F535" s="29"/>
      <c r="H535" s="1" t="str">
        <f t="shared" ca="1" si="24"/>
        <v/>
      </c>
      <c r="M535" s="2"/>
      <c r="N535" s="1" t="str">
        <f t="shared" si="25"/>
        <v/>
      </c>
      <c r="O535" s="2"/>
      <c r="P535" s="2"/>
      <c r="Q535" s="2"/>
      <c r="R535" s="2"/>
      <c r="S535" s="1" t="str">
        <f t="shared" si="26"/>
        <v/>
      </c>
    </row>
    <row r="536" spans="1:19" x14ac:dyDescent="0.25">
      <c r="A536" s="2"/>
      <c r="F536" s="29"/>
      <c r="H536" s="1" t="str">
        <f t="shared" ca="1" si="24"/>
        <v/>
      </c>
      <c r="M536" s="2"/>
      <c r="N536" s="1" t="str">
        <f t="shared" si="25"/>
        <v/>
      </c>
      <c r="O536" s="2"/>
      <c r="P536" s="2"/>
      <c r="Q536" s="2"/>
      <c r="R536" s="2"/>
      <c r="S536" s="1" t="str">
        <f t="shared" si="26"/>
        <v/>
      </c>
    </row>
    <row r="537" spans="1:19" x14ac:dyDescent="0.25">
      <c r="A537" s="2"/>
      <c r="F537" s="29"/>
      <c r="H537" s="1" t="str">
        <f t="shared" ca="1" si="24"/>
        <v/>
      </c>
      <c r="M537" s="2"/>
      <c r="N537" s="1" t="str">
        <f t="shared" si="25"/>
        <v/>
      </c>
      <c r="O537" s="2"/>
      <c r="P537" s="2"/>
      <c r="Q537" s="2"/>
      <c r="R537" s="2"/>
      <c r="S537" s="1" t="str">
        <f t="shared" si="26"/>
        <v/>
      </c>
    </row>
    <row r="538" spans="1:19" x14ac:dyDescent="0.25">
      <c r="A538" s="2"/>
      <c r="F538" s="29"/>
      <c r="H538" s="1" t="str">
        <f t="shared" ca="1" si="24"/>
        <v/>
      </c>
      <c r="M538" s="2"/>
      <c r="N538" s="1" t="str">
        <f t="shared" si="25"/>
        <v/>
      </c>
      <c r="O538" s="2"/>
      <c r="P538" s="2"/>
      <c r="Q538" s="2"/>
      <c r="R538" s="2"/>
      <c r="S538" s="1" t="str">
        <f t="shared" si="26"/>
        <v/>
      </c>
    </row>
    <row r="539" spans="1:19" x14ac:dyDescent="0.25">
      <c r="A539" s="2"/>
      <c r="F539" s="29"/>
      <c r="H539" s="1" t="str">
        <f t="shared" ca="1" si="24"/>
        <v/>
      </c>
      <c r="M539" s="2"/>
      <c r="N539" s="1" t="str">
        <f t="shared" si="25"/>
        <v/>
      </c>
      <c r="O539" s="2"/>
      <c r="P539" s="2"/>
      <c r="Q539" s="2"/>
      <c r="R539" s="2"/>
      <c r="S539" s="1" t="str">
        <f t="shared" si="26"/>
        <v/>
      </c>
    </row>
    <row r="540" spans="1:19" x14ac:dyDescent="0.25">
      <c r="A540" s="2"/>
      <c r="F540" s="29"/>
      <c r="H540" s="1" t="str">
        <f t="shared" ca="1" si="24"/>
        <v/>
      </c>
      <c r="M540" s="2"/>
      <c r="N540" s="1" t="str">
        <f t="shared" si="25"/>
        <v/>
      </c>
      <c r="O540" s="2"/>
      <c r="P540" s="2"/>
      <c r="Q540" s="2"/>
      <c r="R540" s="2"/>
      <c r="S540" s="1" t="str">
        <f t="shared" si="26"/>
        <v/>
      </c>
    </row>
    <row r="541" spans="1:19" x14ac:dyDescent="0.25">
      <c r="A541" s="2"/>
      <c r="F541" s="29"/>
      <c r="H541" s="1" t="str">
        <f t="shared" ca="1" si="24"/>
        <v/>
      </c>
      <c r="M541" s="2"/>
      <c r="N541" s="1" t="str">
        <f t="shared" si="25"/>
        <v/>
      </c>
      <c r="O541" s="2"/>
      <c r="P541" s="2"/>
      <c r="Q541" s="2"/>
      <c r="R541" s="2"/>
      <c r="S541" s="1" t="str">
        <f t="shared" si="26"/>
        <v/>
      </c>
    </row>
    <row r="542" spans="1:19" x14ac:dyDescent="0.25">
      <c r="A542" s="2"/>
      <c r="F542" s="29"/>
      <c r="H542" s="1" t="str">
        <f t="shared" ca="1" si="24"/>
        <v/>
      </c>
      <c r="M542" s="2"/>
      <c r="N542" s="1" t="str">
        <f t="shared" si="25"/>
        <v/>
      </c>
      <c r="O542" s="2"/>
      <c r="P542" s="2"/>
      <c r="Q542" s="2"/>
      <c r="R542" s="2"/>
      <c r="S542" s="1" t="str">
        <f t="shared" si="26"/>
        <v/>
      </c>
    </row>
    <row r="543" spans="1:19" x14ac:dyDescent="0.25">
      <c r="A543" s="2"/>
      <c r="F543" s="29"/>
      <c r="H543" s="1" t="str">
        <f t="shared" ca="1" si="24"/>
        <v/>
      </c>
      <c r="M543" s="2"/>
      <c r="N543" s="1" t="str">
        <f t="shared" si="25"/>
        <v/>
      </c>
      <c r="O543" s="2"/>
      <c r="P543" s="2"/>
      <c r="Q543" s="2"/>
      <c r="R543" s="2"/>
      <c r="S543" s="1" t="str">
        <f t="shared" si="26"/>
        <v/>
      </c>
    </row>
    <row r="544" spans="1:19" x14ac:dyDescent="0.25">
      <c r="A544" s="2"/>
      <c r="F544" s="29"/>
      <c r="H544" s="1" t="str">
        <f t="shared" ca="1" si="24"/>
        <v/>
      </c>
      <c r="M544" s="2"/>
      <c r="N544" s="1" t="str">
        <f t="shared" si="25"/>
        <v/>
      </c>
      <c r="O544" s="2"/>
      <c r="P544" s="2"/>
      <c r="Q544" s="2"/>
      <c r="R544" s="2"/>
      <c r="S544" s="1" t="str">
        <f t="shared" si="26"/>
        <v/>
      </c>
    </row>
    <row r="545" spans="1:19" x14ac:dyDescent="0.25">
      <c r="A545" s="2"/>
      <c r="F545" s="29"/>
      <c r="H545" s="1" t="str">
        <f t="shared" ca="1" si="24"/>
        <v/>
      </c>
      <c r="M545" s="2"/>
      <c r="N545" s="1" t="str">
        <f t="shared" si="25"/>
        <v/>
      </c>
      <c r="O545" s="2"/>
      <c r="P545" s="2"/>
      <c r="Q545" s="2"/>
      <c r="R545" s="2"/>
      <c r="S545" s="1" t="str">
        <f t="shared" si="26"/>
        <v/>
      </c>
    </row>
    <row r="546" spans="1:19" x14ac:dyDescent="0.25">
      <c r="A546" s="2"/>
      <c r="F546" s="29"/>
      <c r="H546" s="1" t="str">
        <f t="shared" ca="1" si="24"/>
        <v/>
      </c>
      <c r="M546" s="2"/>
      <c r="N546" s="1" t="str">
        <f t="shared" si="25"/>
        <v/>
      </c>
      <c r="O546" s="2"/>
      <c r="P546" s="2"/>
      <c r="Q546" s="2"/>
      <c r="R546" s="2"/>
      <c r="S546" s="1" t="str">
        <f t="shared" si="26"/>
        <v/>
      </c>
    </row>
    <row r="547" spans="1:19" x14ac:dyDescent="0.25">
      <c r="A547" s="2"/>
      <c r="F547" s="29"/>
      <c r="H547" s="1" t="str">
        <f t="shared" ca="1" si="24"/>
        <v/>
      </c>
      <c r="M547" s="2"/>
      <c r="N547" s="1" t="str">
        <f t="shared" si="25"/>
        <v/>
      </c>
      <c r="O547" s="2"/>
      <c r="P547" s="2"/>
      <c r="Q547" s="2"/>
      <c r="R547" s="2"/>
      <c r="S547" s="1" t="str">
        <f t="shared" si="26"/>
        <v/>
      </c>
    </row>
    <row r="548" spans="1:19" x14ac:dyDescent="0.25">
      <c r="A548" s="2"/>
      <c r="F548" s="29"/>
      <c r="H548" s="1" t="str">
        <f t="shared" ca="1" si="24"/>
        <v/>
      </c>
      <c r="M548" s="2"/>
      <c r="N548" s="1" t="str">
        <f t="shared" si="25"/>
        <v/>
      </c>
      <c r="O548" s="2"/>
      <c r="P548" s="2"/>
      <c r="Q548" s="2"/>
      <c r="R548" s="2"/>
      <c r="S548" s="1" t="str">
        <f t="shared" si="26"/>
        <v/>
      </c>
    </row>
    <row r="549" spans="1:19" x14ac:dyDescent="0.25">
      <c r="A549" s="2"/>
      <c r="F549" s="29"/>
      <c r="H549" s="1" t="str">
        <f t="shared" ca="1" si="24"/>
        <v/>
      </c>
      <c r="M549" s="2"/>
      <c r="N549" s="1" t="str">
        <f t="shared" si="25"/>
        <v/>
      </c>
      <c r="O549" s="2"/>
      <c r="P549" s="2"/>
      <c r="Q549" s="2"/>
      <c r="R549" s="2"/>
      <c r="S549" s="1" t="str">
        <f t="shared" si="26"/>
        <v/>
      </c>
    </row>
    <row r="550" spans="1:19" x14ac:dyDescent="0.25">
      <c r="A550" s="2"/>
      <c r="F550" s="29"/>
      <c r="H550" s="1" t="str">
        <f t="shared" ca="1" si="24"/>
        <v/>
      </c>
      <c r="M550" s="2"/>
      <c r="N550" s="1" t="str">
        <f t="shared" si="25"/>
        <v/>
      </c>
      <c r="O550" s="2"/>
      <c r="P550" s="2"/>
      <c r="Q550" s="2"/>
      <c r="R550" s="2"/>
      <c r="S550" s="1" t="str">
        <f t="shared" si="26"/>
        <v/>
      </c>
    </row>
    <row r="551" spans="1:19" x14ac:dyDescent="0.25">
      <c r="A551" s="2"/>
      <c r="F551" s="29"/>
      <c r="H551" s="1" t="str">
        <f t="shared" ca="1" si="24"/>
        <v/>
      </c>
      <c r="M551" s="2"/>
      <c r="N551" s="1" t="str">
        <f t="shared" si="25"/>
        <v/>
      </c>
      <c r="O551" s="2"/>
      <c r="P551" s="2"/>
      <c r="Q551" s="2"/>
      <c r="R551" s="2"/>
      <c r="S551" s="1" t="str">
        <f t="shared" si="26"/>
        <v/>
      </c>
    </row>
    <row r="552" spans="1:19" x14ac:dyDescent="0.25">
      <c r="A552" s="2"/>
      <c r="F552" s="29"/>
      <c r="H552" s="1" t="str">
        <f t="shared" ca="1" si="24"/>
        <v/>
      </c>
      <c r="M552" s="2"/>
      <c r="N552" s="1" t="str">
        <f t="shared" si="25"/>
        <v/>
      </c>
      <c r="O552" s="2"/>
      <c r="P552" s="2"/>
      <c r="Q552" s="2"/>
      <c r="R552" s="2"/>
      <c r="S552" s="1" t="str">
        <f t="shared" si="26"/>
        <v/>
      </c>
    </row>
    <row r="553" spans="1:19" x14ac:dyDescent="0.25">
      <c r="A553" s="2"/>
      <c r="F553" s="29"/>
      <c r="H553" s="1" t="str">
        <f t="shared" ca="1" si="24"/>
        <v/>
      </c>
      <c r="M553" s="2"/>
      <c r="N553" s="1" t="str">
        <f t="shared" si="25"/>
        <v/>
      </c>
      <c r="O553" s="2"/>
      <c r="P553" s="2"/>
      <c r="Q553" s="2"/>
      <c r="R553" s="2"/>
      <c r="S553" s="1" t="str">
        <f t="shared" si="26"/>
        <v/>
      </c>
    </row>
    <row r="554" spans="1:19" x14ac:dyDescent="0.25">
      <c r="A554" s="2"/>
      <c r="F554" s="29"/>
      <c r="H554" s="1" t="str">
        <f t="shared" ca="1" si="24"/>
        <v/>
      </c>
      <c r="M554" s="2"/>
      <c r="N554" s="1" t="str">
        <f t="shared" si="25"/>
        <v/>
      </c>
      <c r="O554" s="2"/>
      <c r="P554" s="2"/>
      <c r="Q554" s="2"/>
      <c r="R554" s="2"/>
      <c r="S554" s="1" t="str">
        <f t="shared" si="26"/>
        <v/>
      </c>
    </row>
    <row r="555" spans="1:19" x14ac:dyDescent="0.25">
      <c r="A555" s="2"/>
      <c r="F555" s="29"/>
      <c r="H555" s="1" t="str">
        <f t="shared" ca="1" si="24"/>
        <v/>
      </c>
      <c r="M555" s="2"/>
      <c r="N555" s="1" t="str">
        <f t="shared" si="25"/>
        <v/>
      </c>
      <c r="O555" s="2"/>
      <c r="P555" s="2"/>
      <c r="Q555" s="2"/>
      <c r="R555" s="2"/>
      <c r="S555" s="1" t="str">
        <f t="shared" si="26"/>
        <v/>
      </c>
    </row>
    <row r="556" spans="1:19" x14ac:dyDescent="0.25">
      <c r="A556" s="2"/>
      <c r="F556" s="29"/>
      <c r="H556" s="1" t="str">
        <f t="shared" ca="1" si="24"/>
        <v/>
      </c>
      <c r="M556" s="2"/>
      <c r="N556" s="1" t="str">
        <f t="shared" si="25"/>
        <v/>
      </c>
      <c r="O556" s="2"/>
      <c r="P556" s="2"/>
      <c r="Q556" s="2"/>
      <c r="R556" s="2"/>
      <c r="S556" s="1" t="str">
        <f t="shared" si="26"/>
        <v/>
      </c>
    </row>
    <row r="557" spans="1:19" x14ac:dyDescent="0.25">
      <c r="A557" s="2"/>
      <c r="F557" s="29"/>
      <c r="H557" s="1" t="str">
        <f t="shared" ca="1" si="24"/>
        <v/>
      </c>
      <c r="M557" s="2"/>
      <c r="N557" s="1" t="str">
        <f t="shared" si="25"/>
        <v/>
      </c>
      <c r="O557" s="2"/>
      <c r="P557" s="2"/>
      <c r="Q557" s="2"/>
      <c r="R557" s="2"/>
      <c r="S557" s="1" t="str">
        <f t="shared" si="26"/>
        <v/>
      </c>
    </row>
    <row r="558" spans="1:19" x14ac:dyDescent="0.25">
      <c r="A558" s="2"/>
      <c r="F558" s="29"/>
      <c r="H558" s="1" t="str">
        <f t="shared" ca="1" si="24"/>
        <v/>
      </c>
      <c r="M558" s="2"/>
      <c r="N558" s="1" t="str">
        <f t="shared" si="25"/>
        <v/>
      </c>
      <c r="O558" s="2"/>
      <c r="P558" s="2"/>
      <c r="Q558" s="2"/>
      <c r="R558" s="2"/>
      <c r="S558" s="1" t="str">
        <f t="shared" si="26"/>
        <v/>
      </c>
    </row>
    <row r="559" spans="1:19" x14ac:dyDescent="0.25">
      <c r="A559" s="2"/>
      <c r="F559" s="29"/>
      <c r="H559" s="1" t="str">
        <f t="shared" ca="1" si="24"/>
        <v/>
      </c>
      <c r="M559" s="2"/>
      <c r="N559" s="1" t="str">
        <f t="shared" si="25"/>
        <v/>
      </c>
      <c r="O559" s="2"/>
      <c r="P559" s="2"/>
      <c r="Q559" s="2"/>
      <c r="R559" s="2"/>
      <c r="S559" s="1" t="str">
        <f t="shared" si="26"/>
        <v/>
      </c>
    </row>
    <row r="560" spans="1:19" x14ac:dyDescent="0.25">
      <c r="A560" s="2"/>
      <c r="F560" s="29"/>
      <c r="H560" s="1" t="str">
        <f t="shared" ca="1" si="24"/>
        <v/>
      </c>
      <c r="M560" s="2"/>
      <c r="N560" s="1" t="str">
        <f t="shared" si="25"/>
        <v/>
      </c>
      <c r="O560" s="2"/>
      <c r="P560" s="2"/>
      <c r="Q560" s="2"/>
      <c r="R560" s="2"/>
      <c r="S560" s="1" t="str">
        <f t="shared" si="26"/>
        <v/>
      </c>
    </row>
    <row r="561" spans="1:19" x14ac:dyDescent="0.25">
      <c r="A561" s="2"/>
      <c r="F561" s="29"/>
      <c r="H561" s="1" t="str">
        <f t="shared" ca="1" si="24"/>
        <v/>
      </c>
      <c r="M561" s="2"/>
      <c r="N561" s="1" t="str">
        <f t="shared" si="25"/>
        <v/>
      </c>
      <c r="O561" s="2"/>
      <c r="P561" s="2"/>
      <c r="Q561" s="2"/>
      <c r="R561" s="2"/>
      <c r="S561" s="1" t="str">
        <f t="shared" si="26"/>
        <v/>
      </c>
    </row>
    <row r="562" spans="1:19" x14ac:dyDescent="0.25">
      <c r="A562" s="2"/>
      <c r="F562" s="29"/>
      <c r="H562" s="1" t="str">
        <f t="shared" ca="1" si="24"/>
        <v/>
      </c>
      <c r="M562" s="2"/>
      <c r="N562" s="1" t="str">
        <f t="shared" si="25"/>
        <v/>
      </c>
      <c r="O562" s="2"/>
      <c r="P562" s="2"/>
      <c r="Q562" s="2"/>
      <c r="R562" s="2"/>
      <c r="S562" s="1" t="str">
        <f t="shared" si="26"/>
        <v/>
      </c>
    </row>
    <row r="563" spans="1:19" x14ac:dyDescent="0.25">
      <c r="A563" s="2"/>
      <c r="F563" s="29"/>
      <c r="H563" s="1" t="str">
        <f t="shared" ca="1" si="24"/>
        <v/>
      </c>
      <c r="M563" s="2"/>
      <c r="N563" s="1" t="str">
        <f t="shared" si="25"/>
        <v/>
      </c>
      <c r="O563" s="2"/>
      <c r="P563" s="2"/>
      <c r="Q563" s="2"/>
      <c r="R563" s="2"/>
      <c r="S563" s="1" t="str">
        <f t="shared" si="26"/>
        <v/>
      </c>
    </row>
    <row r="564" spans="1:19" x14ac:dyDescent="0.25">
      <c r="A564" s="2"/>
      <c r="F564" s="29"/>
      <c r="H564" s="1" t="str">
        <f t="shared" ca="1" si="24"/>
        <v/>
      </c>
      <c r="M564" s="2"/>
      <c r="N564" s="1" t="str">
        <f t="shared" si="25"/>
        <v/>
      </c>
      <c r="O564" s="2"/>
      <c r="P564" s="2"/>
      <c r="Q564" s="2"/>
      <c r="R564" s="2"/>
      <c r="S564" s="1" t="str">
        <f t="shared" si="26"/>
        <v/>
      </c>
    </row>
    <row r="565" spans="1:19" x14ac:dyDescent="0.25">
      <c r="A565" s="2"/>
      <c r="F565" s="29"/>
      <c r="H565" s="1" t="str">
        <f t="shared" ca="1" si="24"/>
        <v/>
      </c>
      <c r="M565" s="2"/>
      <c r="N565" s="1" t="str">
        <f t="shared" si="25"/>
        <v/>
      </c>
      <c r="O565" s="2"/>
      <c r="P565" s="2"/>
      <c r="Q565" s="2"/>
      <c r="R565" s="2"/>
      <c r="S565" s="1" t="str">
        <f t="shared" si="26"/>
        <v/>
      </c>
    </row>
    <row r="566" spans="1:19" x14ac:dyDescent="0.25">
      <c r="A566" s="2"/>
      <c r="F566" s="29"/>
      <c r="H566" s="1" t="str">
        <f t="shared" ca="1" si="24"/>
        <v/>
      </c>
      <c r="M566" s="2"/>
      <c r="N566" s="1" t="str">
        <f t="shared" si="25"/>
        <v/>
      </c>
      <c r="O566" s="2"/>
      <c r="P566" s="2"/>
      <c r="Q566" s="2"/>
      <c r="R566" s="2"/>
      <c r="S566" s="1" t="str">
        <f t="shared" si="26"/>
        <v/>
      </c>
    </row>
    <row r="567" spans="1:19" x14ac:dyDescent="0.25">
      <c r="A567" s="2"/>
      <c r="F567" s="29"/>
      <c r="H567" s="1" t="str">
        <f t="shared" ca="1" si="24"/>
        <v/>
      </c>
      <c r="M567" s="2"/>
      <c r="N567" s="1" t="str">
        <f t="shared" si="25"/>
        <v/>
      </c>
      <c r="O567" s="2"/>
      <c r="P567" s="2"/>
      <c r="Q567" s="2"/>
      <c r="R567" s="2"/>
      <c r="S567" s="1" t="str">
        <f t="shared" si="26"/>
        <v/>
      </c>
    </row>
    <row r="568" spans="1:19" x14ac:dyDescent="0.25">
      <c r="A568" s="2"/>
      <c r="F568" s="29"/>
      <c r="H568" s="1" t="str">
        <f t="shared" ca="1" si="24"/>
        <v/>
      </c>
      <c r="M568" s="2"/>
      <c r="N568" s="1" t="str">
        <f t="shared" si="25"/>
        <v/>
      </c>
      <c r="O568" s="2"/>
      <c r="P568" s="2"/>
      <c r="Q568" s="2"/>
      <c r="R568" s="2"/>
      <c r="S568" s="1" t="str">
        <f t="shared" si="26"/>
        <v/>
      </c>
    </row>
    <row r="569" spans="1:19" x14ac:dyDescent="0.25">
      <c r="A569" s="2"/>
      <c r="F569" s="29"/>
      <c r="H569" s="1" t="str">
        <f t="shared" ca="1" si="24"/>
        <v/>
      </c>
      <c r="M569" s="2"/>
      <c r="N569" s="1" t="str">
        <f t="shared" si="25"/>
        <v/>
      </c>
      <c r="O569" s="2"/>
      <c r="P569" s="2"/>
      <c r="Q569" s="2"/>
      <c r="R569" s="2"/>
      <c r="S569" s="1" t="str">
        <f t="shared" si="26"/>
        <v/>
      </c>
    </row>
    <row r="570" spans="1:19" x14ac:dyDescent="0.25">
      <c r="A570" s="2"/>
      <c r="F570" s="29"/>
      <c r="H570" s="1" t="str">
        <f t="shared" ca="1" si="24"/>
        <v/>
      </c>
      <c r="M570" s="2"/>
      <c r="N570" s="1" t="str">
        <f t="shared" si="25"/>
        <v/>
      </c>
      <c r="O570" s="2"/>
      <c r="P570" s="2"/>
      <c r="Q570" s="2"/>
      <c r="R570" s="2"/>
      <c r="S570" s="1" t="str">
        <f t="shared" si="26"/>
        <v/>
      </c>
    </row>
    <row r="571" spans="1:19" x14ac:dyDescent="0.25">
      <c r="A571" s="2"/>
      <c r="F571" s="29"/>
      <c r="H571" s="1" t="str">
        <f t="shared" ca="1" si="24"/>
        <v/>
      </c>
      <c r="M571" s="2"/>
      <c r="N571" s="1" t="str">
        <f t="shared" si="25"/>
        <v/>
      </c>
      <c r="O571" s="2"/>
      <c r="P571" s="2"/>
      <c r="Q571" s="2"/>
      <c r="R571" s="2"/>
      <c r="S571" s="1" t="str">
        <f t="shared" si="26"/>
        <v/>
      </c>
    </row>
    <row r="572" spans="1:19" x14ac:dyDescent="0.25">
      <c r="A572" s="2"/>
      <c r="F572" s="29"/>
      <c r="H572" s="1" t="str">
        <f t="shared" ref="H572:H635" ca="1" si="27">IF(A572="","",IF(ISNUMBER(M572),M572-A572,TODAY()-A572))</f>
        <v/>
      </c>
      <c r="M572" s="2"/>
      <c r="N572" s="1" t="str">
        <f t="shared" ref="N572:N635" si="28">IF(M572="","",IF(ISNUMBER(M572),"Closed","Open"))</f>
        <v/>
      </c>
      <c r="O572" s="2"/>
      <c r="P572" s="2"/>
      <c r="Q572" s="2"/>
      <c r="R572" s="2"/>
      <c r="S572" s="1" t="str">
        <f t="shared" ref="S572:S635" si="29">IF(Q572="","",R572-Q572)</f>
        <v/>
      </c>
    </row>
    <row r="573" spans="1:19" x14ac:dyDescent="0.25">
      <c r="A573" s="2"/>
      <c r="F573" s="29"/>
      <c r="H573" s="1" t="str">
        <f t="shared" ca="1" si="27"/>
        <v/>
      </c>
      <c r="M573" s="2"/>
      <c r="N573" s="1" t="str">
        <f t="shared" si="28"/>
        <v/>
      </c>
      <c r="O573" s="2"/>
      <c r="P573" s="2"/>
      <c r="Q573" s="2"/>
      <c r="R573" s="2"/>
      <c r="S573" s="1" t="str">
        <f t="shared" si="29"/>
        <v/>
      </c>
    </row>
    <row r="574" spans="1:19" x14ac:dyDescent="0.25">
      <c r="A574" s="2"/>
      <c r="F574" s="29"/>
      <c r="H574" s="1" t="str">
        <f t="shared" ca="1" si="27"/>
        <v/>
      </c>
      <c r="M574" s="2"/>
      <c r="N574" s="1" t="str">
        <f t="shared" si="28"/>
        <v/>
      </c>
      <c r="O574" s="2"/>
      <c r="P574" s="2"/>
      <c r="Q574" s="2"/>
      <c r="R574" s="2"/>
      <c r="S574" s="1" t="str">
        <f t="shared" si="29"/>
        <v/>
      </c>
    </row>
    <row r="575" spans="1:19" x14ac:dyDescent="0.25">
      <c r="A575" s="2"/>
      <c r="F575" s="29"/>
      <c r="H575" s="1" t="str">
        <f t="shared" ca="1" si="27"/>
        <v/>
      </c>
      <c r="M575" s="2"/>
      <c r="N575" s="1" t="str">
        <f t="shared" si="28"/>
        <v/>
      </c>
      <c r="O575" s="2"/>
      <c r="P575" s="2"/>
      <c r="Q575" s="2"/>
      <c r="R575" s="2"/>
      <c r="S575" s="1" t="str">
        <f t="shared" si="29"/>
        <v/>
      </c>
    </row>
    <row r="576" spans="1:19" x14ac:dyDescent="0.25">
      <c r="A576" s="2"/>
      <c r="F576" s="29"/>
      <c r="H576" s="1" t="str">
        <f t="shared" ca="1" si="27"/>
        <v/>
      </c>
      <c r="M576" s="2"/>
      <c r="N576" s="1" t="str">
        <f t="shared" si="28"/>
        <v/>
      </c>
      <c r="O576" s="2"/>
      <c r="P576" s="2"/>
      <c r="Q576" s="2"/>
      <c r="R576" s="2"/>
      <c r="S576" s="1" t="str">
        <f t="shared" si="29"/>
        <v/>
      </c>
    </row>
    <row r="577" spans="1:19" x14ac:dyDescent="0.25">
      <c r="A577" s="2"/>
      <c r="F577" s="29"/>
      <c r="H577" s="1" t="str">
        <f t="shared" ca="1" si="27"/>
        <v/>
      </c>
      <c r="M577" s="2"/>
      <c r="N577" s="1" t="str">
        <f t="shared" si="28"/>
        <v/>
      </c>
      <c r="O577" s="2"/>
      <c r="P577" s="2"/>
      <c r="Q577" s="2"/>
      <c r="R577" s="2"/>
      <c r="S577" s="1" t="str">
        <f t="shared" si="29"/>
        <v/>
      </c>
    </row>
    <row r="578" spans="1:19" x14ac:dyDescent="0.25">
      <c r="A578" s="2"/>
      <c r="F578" s="29"/>
      <c r="H578" s="1" t="str">
        <f t="shared" ca="1" si="27"/>
        <v/>
      </c>
      <c r="M578" s="2"/>
      <c r="N578" s="1" t="str">
        <f t="shared" si="28"/>
        <v/>
      </c>
      <c r="O578" s="2"/>
      <c r="P578" s="2"/>
      <c r="Q578" s="2"/>
      <c r="R578" s="2"/>
      <c r="S578" s="1" t="str">
        <f t="shared" si="29"/>
        <v/>
      </c>
    </row>
    <row r="579" spans="1:19" x14ac:dyDescent="0.25">
      <c r="A579" s="2"/>
      <c r="F579" s="29"/>
      <c r="H579" s="1" t="str">
        <f t="shared" ca="1" si="27"/>
        <v/>
      </c>
      <c r="M579" s="2"/>
      <c r="N579" s="1" t="str">
        <f t="shared" si="28"/>
        <v/>
      </c>
      <c r="O579" s="2"/>
      <c r="P579" s="2"/>
      <c r="Q579" s="2"/>
      <c r="R579" s="2"/>
      <c r="S579" s="1" t="str">
        <f t="shared" si="29"/>
        <v/>
      </c>
    </row>
    <row r="580" spans="1:19" x14ac:dyDescent="0.25">
      <c r="A580" s="2"/>
      <c r="F580" s="29"/>
      <c r="H580" s="1" t="str">
        <f t="shared" ca="1" si="27"/>
        <v/>
      </c>
      <c r="M580" s="2"/>
      <c r="N580" s="1" t="str">
        <f t="shared" si="28"/>
        <v/>
      </c>
      <c r="O580" s="2"/>
      <c r="P580" s="2"/>
      <c r="Q580" s="2"/>
      <c r="R580" s="2"/>
      <c r="S580" s="1" t="str">
        <f t="shared" si="29"/>
        <v/>
      </c>
    </row>
    <row r="581" spans="1:19" x14ac:dyDescent="0.25">
      <c r="A581" s="2"/>
      <c r="F581" s="29"/>
      <c r="H581" s="1" t="str">
        <f t="shared" ca="1" si="27"/>
        <v/>
      </c>
      <c r="M581" s="2"/>
      <c r="N581" s="1" t="str">
        <f t="shared" si="28"/>
        <v/>
      </c>
      <c r="O581" s="2"/>
      <c r="P581" s="2"/>
      <c r="Q581" s="2"/>
      <c r="R581" s="2"/>
      <c r="S581" s="1" t="str">
        <f t="shared" si="29"/>
        <v/>
      </c>
    </row>
    <row r="582" spans="1:19" x14ac:dyDescent="0.25">
      <c r="A582" s="2"/>
      <c r="F582" s="29"/>
      <c r="H582" s="1" t="str">
        <f t="shared" ca="1" si="27"/>
        <v/>
      </c>
      <c r="M582" s="2"/>
      <c r="N582" s="1" t="str">
        <f t="shared" si="28"/>
        <v/>
      </c>
      <c r="O582" s="2"/>
      <c r="P582" s="2"/>
      <c r="Q582" s="2"/>
      <c r="R582" s="2"/>
      <c r="S582" s="1" t="str">
        <f t="shared" si="29"/>
        <v/>
      </c>
    </row>
    <row r="583" spans="1:19" x14ac:dyDescent="0.25">
      <c r="A583" s="2"/>
      <c r="F583" s="29"/>
      <c r="H583" s="1" t="str">
        <f t="shared" ca="1" si="27"/>
        <v/>
      </c>
      <c r="M583" s="2"/>
      <c r="N583" s="1" t="str">
        <f t="shared" si="28"/>
        <v/>
      </c>
      <c r="O583" s="2"/>
      <c r="P583" s="2"/>
      <c r="Q583" s="2"/>
      <c r="R583" s="2"/>
      <c r="S583" s="1" t="str">
        <f t="shared" si="29"/>
        <v/>
      </c>
    </row>
    <row r="584" spans="1:19" x14ac:dyDescent="0.25">
      <c r="A584" s="2"/>
      <c r="F584" s="29"/>
      <c r="H584" s="1" t="str">
        <f t="shared" ca="1" si="27"/>
        <v/>
      </c>
      <c r="M584" s="2"/>
      <c r="N584" s="1" t="str">
        <f t="shared" si="28"/>
        <v/>
      </c>
      <c r="O584" s="2"/>
      <c r="P584" s="2"/>
      <c r="Q584" s="2"/>
      <c r="R584" s="2"/>
      <c r="S584" s="1" t="str">
        <f t="shared" si="29"/>
        <v/>
      </c>
    </row>
    <row r="585" spans="1:19" x14ac:dyDescent="0.25">
      <c r="A585" s="2"/>
      <c r="F585" s="29"/>
      <c r="H585" s="1" t="str">
        <f t="shared" ca="1" si="27"/>
        <v/>
      </c>
      <c r="M585" s="2"/>
      <c r="N585" s="1" t="str">
        <f t="shared" si="28"/>
        <v/>
      </c>
      <c r="O585" s="2"/>
      <c r="P585" s="2"/>
      <c r="Q585" s="2"/>
      <c r="R585" s="2"/>
      <c r="S585" s="1" t="str">
        <f t="shared" si="29"/>
        <v/>
      </c>
    </row>
    <row r="586" spans="1:19" x14ac:dyDescent="0.25">
      <c r="A586" s="2"/>
      <c r="F586" s="29"/>
      <c r="H586" s="1" t="str">
        <f t="shared" ca="1" si="27"/>
        <v/>
      </c>
      <c r="M586" s="2"/>
      <c r="N586" s="1" t="str">
        <f t="shared" si="28"/>
        <v/>
      </c>
      <c r="O586" s="2"/>
      <c r="P586" s="2"/>
      <c r="Q586" s="2"/>
      <c r="R586" s="2"/>
      <c r="S586" s="1" t="str">
        <f t="shared" si="29"/>
        <v/>
      </c>
    </row>
    <row r="587" spans="1:19" x14ac:dyDescent="0.25">
      <c r="A587" s="2"/>
      <c r="F587" s="29"/>
      <c r="H587" s="1" t="str">
        <f t="shared" ca="1" si="27"/>
        <v/>
      </c>
      <c r="M587" s="2"/>
      <c r="N587" s="1" t="str">
        <f t="shared" si="28"/>
        <v/>
      </c>
      <c r="O587" s="2"/>
      <c r="P587" s="2"/>
      <c r="Q587" s="2"/>
      <c r="R587" s="2"/>
      <c r="S587" s="1" t="str">
        <f t="shared" si="29"/>
        <v/>
      </c>
    </row>
    <row r="588" spans="1:19" x14ac:dyDescent="0.25">
      <c r="A588" s="2"/>
      <c r="F588" s="29"/>
      <c r="H588" s="1" t="str">
        <f t="shared" ca="1" si="27"/>
        <v/>
      </c>
      <c r="M588" s="2"/>
      <c r="N588" s="1" t="str">
        <f t="shared" si="28"/>
        <v/>
      </c>
      <c r="O588" s="2"/>
      <c r="P588" s="2"/>
      <c r="Q588" s="2"/>
      <c r="R588" s="2"/>
      <c r="S588" s="1" t="str">
        <f t="shared" si="29"/>
        <v/>
      </c>
    </row>
    <row r="589" spans="1:19" x14ac:dyDescent="0.25">
      <c r="A589" s="2"/>
      <c r="F589" s="29"/>
      <c r="H589" s="1" t="str">
        <f t="shared" ca="1" si="27"/>
        <v/>
      </c>
      <c r="M589" s="2"/>
      <c r="N589" s="1" t="str">
        <f t="shared" si="28"/>
        <v/>
      </c>
      <c r="O589" s="2"/>
      <c r="P589" s="2"/>
      <c r="Q589" s="2"/>
      <c r="R589" s="2"/>
      <c r="S589" s="1" t="str">
        <f t="shared" si="29"/>
        <v/>
      </c>
    </row>
    <row r="590" spans="1:19" x14ac:dyDescent="0.25">
      <c r="A590" s="2"/>
      <c r="F590" s="29"/>
      <c r="H590" s="1" t="str">
        <f t="shared" ca="1" si="27"/>
        <v/>
      </c>
      <c r="M590" s="2"/>
      <c r="N590" s="1" t="str">
        <f t="shared" si="28"/>
        <v/>
      </c>
      <c r="O590" s="2"/>
      <c r="P590" s="2"/>
      <c r="Q590" s="2"/>
      <c r="R590" s="2"/>
      <c r="S590" s="1" t="str">
        <f t="shared" si="29"/>
        <v/>
      </c>
    </row>
    <row r="591" spans="1:19" x14ac:dyDescent="0.25">
      <c r="A591" s="2"/>
      <c r="F591" s="29"/>
      <c r="H591" s="1" t="str">
        <f t="shared" ca="1" si="27"/>
        <v/>
      </c>
      <c r="M591" s="2"/>
      <c r="N591" s="1" t="str">
        <f t="shared" si="28"/>
        <v/>
      </c>
      <c r="O591" s="2"/>
      <c r="P591" s="2"/>
      <c r="Q591" s="2"/>
      <c r="R591" s="2"/>
      <c r="S591" s="1" t="str">
        <f t="shared" si="29"/>
        <v/>
      </c>
    </row>
    <row r="592" spans="1:19" x14ac:dyDescent="0.25">
      <c r="A592" s="2"/>
      <c r="F592" s="29"/>
      <c r="H592" s="1" t="str">
        <f t="shared" ca="1" si="27"/>
        <v/>
      </c>
      <c r="M592" s="2"/>
      <c r="N592" s="1" t="str">
        <f t="shared" si="28"/>
        <v/>
      </c>
      <c r="O592" s="2"/>
      <c r="P592" s="2"/>
      <c r="Q592" s="2"/>
      <c r="R592" s="2"/>
      <c r="S592" s="1" t="str">
        <f t="shared" si="29"/>
        <v/>
      </c>
    </row>
    <row r="593" spans="1:19" x14ac:dyDescent="0.25">
      <c r="A593" s="2"/>
      <c r="F593" s="29"/>
      <c r="H593" s="1" t="str">
        <f t="shared" ca="1" si="27"/>
        <v/>
      </c>
      <c r="M593" s="2"/>
      <c r="N593" s="1" t="str">
        <f t="shared" si="28"/>
        <v/>
      </c>
      <c r="O593" s="2"/>
      <c r="P593" s="2"/>
      <c r="Q593" s="2"/>
      <c r="R593" s="2"/>
      <c r="S593" s="1" t="str">
        <f t="shared" si="29"/>
        <v/>
      </c>
    </row>
    <row r="594" spans="1:19" x14ac:dyDescent="0.25">
      <c r="A594" s="2"/>
      <c r="F594" s="29"/>
      <c r="H594" s="1" t="str">
        <f t="shared" ca="1" si="27"/>
        <v/>
      </c>
      <c r="M594" s="2"/>
      <c r="N594" s="1" t="str">
        <f t="shared" si="28"/>
        <v/>
      </c>
      <c r="O594" s="2"/>
      <c r="P594" s="2"/>
      <c r="Q594" s="2"/>
      <c r="R594" s="2"/>
      <c r="S594" s="1" t="str">
        <f t="shared" si="29"/>
        <v/>
      </c>
    </row>
    <row r="595" spans="1:19" x14ac:dyDescent="0.25">
      <c r="A595" s="2"/>
      <c r="F595" s="29"/>
      <c r="H595" s="1" t="str">
        <f t="shared" ca="1" si="27"/>
        <v/>
      </c>
      <c r="M595" s="2"/>
      <c r="N595" s="1" t="str">
        <f t="shared" si="28"/>
        <v/>
      </c>
      <c r="O595" s="2"/>
      <c r="P595" s="2"/>
      <c r="Q595" s="2"/>
      <c r="R595" s="2"/>
      <c r="S595" s="1" t="str">
        <f t="shared" si="29"/>
        <v/>
      </c>
    </row>
    <row r="596" spans="1:19" x14ac:dyDescent="0.25">
      <c r="A596" s="2"/>
      <c r="F596" s="29"/>
      <c r="H596" s="1" t="str">
        <f t="shared" ca="1" si="27"/>
        <v/>
      </c>
      <c r="M596" s="2"/>
      <c r="N596" s="1" t="str">
        <f t="shared" si="28"/>
        <v/>
      </c>
      <c r="O596" s="2"/>
      <c r="P596" s="2"/>
      <c r="Q596" s="2"/>
      <c r="R596" s="2"/>
      <c r="S596" s="1" t="str">
        <f t="shared" si="29"/>
        <v/>
      </c>
    </row>
    <row r="597" spans="1:19" x14ac:dyDescent="0.25">
      <c r="A597" s="2"/>
      <c r="F597" s="29"/>
      <c r="H597" s="1" t="str">
        <f t="shared" ca="1" si="27"/>
        <v/>
      </c>
      <c r="M597" s="2"/>
      <c r="N597" s="1" t="str">
        <f t="shared" si="28"/>
        <v/>
      </c>
      <c r="O597" s="2"/>
      <c r="P597" s="2"/>
      <c r="Q597" s="2"/>
      <c r="R597" s="2"/>
      <c r="S597" s="1" t="str">
        <f t="shared" si="29"/>
        <v/>
      </c>
    </row>
    <row r="598" spans="1:19" x14ac:dyDescent="0.25">
      <c r="A598" s="2"/>
      <c r="F598" s="29"/>
      <c r="H598" s="1" t="str">
        <f t="shared" ca="1" si="27"/>
        <v/>
      </c>
      <c r="M598" s="2"/>
      <c r="N598" s="1" t="str">
        <f t="shared" si="28"/>
        <v/>
      </c>
      <c r="O598" s="2"/>
      <c r="P598" s="2"/>
      <c r="Q598" s="2"/>
      <c r="R598" s="2"/>
      <c r="S598" s="1" t="str">
        <f t="shared" si="29"/>
        <v/>
      </c>
    </row>
    <row r="599" spans="1:19" x14ac:dyDescent="0.25">
      <c r="A599" s="2"/>
      <c r="F599" s="29"/>
      <c r="H599" s="1" t="str">
        <f t="shared" ca="1" si="27"/>
        <v/>
      </c>
      <c r="M599" s="2"/>
      <c r="N599" s="1" t="str">
        <f t="shared" si="28"/>
        <v/>
      </c>
      <c r="O599" s="2"/>
      <c r="P599" s="2"/>
      <c r="Q599" s="2"/>
      <c r="R599" s="2"/>
      <c r="S599" s="1" t="str">
        <f t="shared" si="29"/>
        <v/>
      </c>
    </row>
    <row r="600" spans="1:19" x14ac:dyDescent="0.25">
      <c r="A600" s="2"/>
      <c r="F600" s="29"/>
      <c r="H600" s="1" t="str">
        <f t="shared" ca="1" si="27"/>
        <v/>
      </c>
      <c r="M600" s="2"/>
      <c r="N600" s="1" t="str">
        <f t="shared" si="28"/>
        <v/>
      </c>
      <c r="O600" s="2"/>
      <c r="P600" s="2"/>
      <c r="Q600" s="2"/>
      <c r="R600" s="2"/>
      <c r="S600" s="1" t="str">
        <f t="shared" si="29"/>
        <v/>
      </c>
    </row>
    <row r="601" spans="1:19" x14ac:dyDescent="0.25">
      <c r="A601" s="2"/>
      <c r="F601" s="29"/>
      <c r="H601" s="1" t="str">
        <f t="shared" ca="1" si="27"/>
        <v/>
      </c>
      <c r="M601" s="2"/>
      <c r="N601" s="1" t="str">
        <f t="shared" si="28"/>
        <v/>
      </c>
      <c r="O601" s="2"/>
      <c r="P601" s="2"/>
      <c r="Q601" s="2"/>
      <c r="R601" s="2"/>
      <c r="S601" s="1" t="str">
        <f t="shared" si="29"/>
        <v/>
      </c>
    </row>
    <row r="602" spans="1:19" x14ac:dyDescent="0.25">
      <c r="A602" s="2"/>
      <c r="F602" s="29"/>
      <c r="H602" s="1" t="str">
        <f t="shared" ca="1" si="27"/>
        <v/>
      </c>
      <c r="M602" s="2"/>
      <c r="N602" s="1" t="str">
        <f t="shared" si="28"/>
        <v/>
      </c>
      <c r="O602" s="2"/>
      <c r="P602" s="2"/>
      <c r="Q602" s="2"/>
      <c r="R602" s="2"/>
      <c r="S602" s="1" t="str">
        <f t="shared" si="29"/>
        <v/>
      </c>
    </row>
    <row r="603" spans="1:19" x14ac:dyDescent="0.25">
      <c r="A603" s="2"/>
      <c r="F603" s="29"/>
      <c r="H603" s="1" t="str">
        <f t="shared" ca="1" si="27"/>
        <v/>
      </c>
      <c r="M603" s="2"/>
      <c r="N603" s="1" t="str">
        <f t="shared" si="28"/>
        <v/>
      </c>
      <c r="O603" s="2"/>
      <c r="P603" s="2"/>
      <c r="Q603" s="2"/>
      <c r="R603" s="2"/>
      <c r="S603" s="1" t="str">
        <f t="shared" si="29"/>
        <v/>
      </c>
    </row>
    <row r="604" spans="1:19" x14ac:dyDescent="0.25">
      <c r="A604" s="2"/>
      <c r="F604" s="29"/>
      <c r="H604" s="1" t="str">
        <f t="shared" ca="1" si="27"/>
        <v/>
      </c>
      <c r="M604" s="2"/>
      <c r="N604" s="1" t="str">
        <f t="shared" si="28"/>
        <v/>
      </c>
      <c r="O604" s="2"/>
      <c r="P604" s="2"/>
      <c r="Q604" s="2"/>
      <c r="R604" s="2"/>
      <c r="S604" s="1" t="str">
        <f t="shared" si="29"/>
        <v/>
      </c>
    </row>
    <row r="605" spans="1:19" x14ac:dyDescent="0.25">
      <c r="A605" s="2"/>
      <c r="F605" s="29"/>
      <c r="H605" s="1" t="str">
        <f t="shared" ca="1" si="27"/>
        <v/>
      </c>
      <c r="M605" s="2"/>
      <c r="N605" s="1" t="str">
        <f t="shared" si="28"/>
        <v/>
      </c>
      <c r="O605" s="2"/>
      <c r="P605" s="2"/>
      <c r="Q605" s="2"/>
      <c r="R605" s="2"/>
      <c r="S605" s="1" t="str">
        <f t="shared" si="29"/>
        <v/>
      </c>
    </row>
    <row r="606" spans="1:19" x14ac:dyDescent="0.25">
      <c r="A606" s="2"/>
      <c r="F606" s="29"/>
      <c r="H606" s="1" t="str">
        <f t="shared" ca="1" si="27"/>
        <v/>
      </c>
      <c r="M606" s="2"/>
      <c r="N606" s="1" t="str">
        <f t="shared" si="28"/>
        <v/>
      </c>
      <c r="O606" s="2"/>
      <c r="P606" s="2"/>
      <c r="Q606" s="2"/>
      <c r="R606" s="2"/>
      <c r="S606" s="1" t="str">
        <f t="shared" si="29"/>
        <v/>
      </c>
    </row>
    <row r="607" spans="1:19" x14ac:dyDescent="0.25">
      <c r="A607" s="2"/>
      <c r="F607" s="29"/>
      <c r="H607" s="1" t="str">
        <f t="shared" ca="1" si="27"/>
        <v/>
      </c>
      <c r="M607" s="2"/>
      <c r="N607" s="1" t="str">
        <f t="shared" si="28"/>
        <v/>
      </c>
      <c r="O607" s="2"/>
      <c r="P607" s="2"/>
      <c r="Q607" s="2"/>
      <c r="R607" s="2"/>
      <c r="S607" s="1" t="str">
        <f t="shared" si="29"/>
        <v/>
      </c>
    </row>
    <row r="608" spans="1:19" x14ac:dyDescent="0.25">
      <c r="A608" s="2"/>
      <c r="F608" s="29"/>
      <c r="H608" s="1" t="str">
        <f t="shared" ca="1" si="27"/>
        <v/>
      </c>
      <c r="M608" s="2"/>
      <c r="N608" s="1" t="str">
        <f t="shared" si="28"/>
        <v/>
      </c>
      <c r="O608" s="2"/>
      <c r="P608" s="2"/>
      <c r="Q608" s="2"/>
      <c r="R608" s="2"/>
      <c r="S608" s="1" t="str">
        <f t="shared" si="29"/>
        <v/>
      </c>
    </row>
    <row r="609" spans="1:19" x14ac:dyDescent="0.25">
      <c r="A609" s="2"/>
      <c r="F609" s="29"/>
      <c r="H609" s="1" t="str">
        <f t="shared" ca="1" si="27"/>
        <v/>
      </c>
      <c r="M609" s="2"/>
      <c r="N609" s="1" t="str">
        <f t="shared" si="28"/>
        <v/>
      </c>
      <c r="O609" s="2"/>
      <c r="P609" s="2"/>
      <c r="Q609" s="2"/>
      <c r="R609" s="2"/>
      <c r="S609" s="1" t="str">
        <f t="shared" si="29"/>
        <v/>
      </c>
    </row>
    <row r="610" spans="1:19" x14ac:dyDescent="0.25">
      <c r="A610" s="2"/>
      <c r="F610" s="29"/>
      <c r="H610" s="1" t="str">
        <f t="shared" ca="1" si="27"/>
        <v/>
      </c>
      <c r="M610" s="2"/>
      <c r="N610" s="1" t="str">
        <f t="shared" si="28"/>
        <v/>
      </c>
      <c r="O610" s="2"/>
      <c r="P610" s="2"/>
      <c r="Q610" s="2"/>
      <c r="R610" s="2"/>
      <c r="S610" s="1" t="str">
        <f t="shared" si="29"/>
        <v/>
      </c>
    </row>
    <row r="611" spans="1:19" x14ac:dyDescent="0.25">
      <c r="A611" s="2"/>
      <c r="F611" s="29"/>
      <c r="H611" s="1" t="str">
        <f t="shared" ca="1" si="27"/>
        <v/>
      </c>
      <c r="M611" s="2"/>
      <c r="N611" s="1" t="str">
        <f t="shared" si="28"/>
        <v/>
      </c>
      <c r="O611" s="2"/>
      <c r="P611" s="2"/>
      <c r="Q611" s="2"/>
      <c r="R611" s="2"/>
      <c r="S611" s="1" t="str">
        <f t="shared" si="29"/>
        <v/>
      </c>
    </row>
    <row r="612" spans="1:19" x14ac:dyDescent="0.25">
      <c r="A612" s="2"/>
      <c r="F612" s="29"/>
      <c r="H612" s="1" t="str">
        <f t="shared" ca="1" si="27"/>
        <v/>
      </c>
      <c r="M612" s="2"/>
      <c r="N612" s="1" t="str">
        <f t="shared" si="28"/>
        <v/>
      </c>
      <c r="O612" s="2"/>
      <c r="P612" s="2"/>
      <c r="Q612" s="2"/>
      <c r="R612" s="2"/>
      <c r="S612" s="1" t="str">
        <f t="shared" si="29"/>
        <v/>
      </c>
    </row>
    <row r="613" spans="1:19" x14ac:dyDescent="0.25">
      <c r="A613" s="2"/>
      <c r="F613" s="29"/>
      <c r="H613" s="1" t="str">
        <f t="shared" ca="1" si="27"/>
        <v/>
      </c>
      <c r="M613" s="2"/>
      <c r="N613" s="1" t="str">
        <f t="shared" si="28"/>
        <v/>
      </c>
      <c r="O613" s="2"/>
      <c r="P613" s="2"/>
      <c r="Q613" s="2"/>
      <c r="R613" s="2"/>
      <c r="S613" s="1" t="str">
        <f t="shared" si="29"/>
        <v/>
      </c>
    </row>
    <row r="614" spans="1:19" x14ac:dyDescent="0.25">
      <c r="A614" s="2"/>
      <c r="F614" s="29"/>
      <c r="H614" s="1" t="str">
        <f t="shared" ca="1" si="27"/>
        <v/>
      </c>
      <c r="M614" s="2"/>
      <c r="N614" s="1" t="str">
        <f t="shared" si="28"/>
        <v/>
      </c>
      <c r="O614" s="2"/>
      <c r="P614" s="2"/>
      <c r="Q614" s="2"/>
      <c r="R614" s="2"/>
      <c r="S614" s="1" t="str">
        <f t="shared" si="29"/>
        <v/>
      </c>
    </row>
    <row r="615" spans="1:19" x14ac:dyDescent="0.25">
      <c r="A615" s="2"/>
      <c r="F615" s="29"/>
      <c r="H615" s="1" t="str">
        <f t="shared" ca="1" si="27"/>
        <v/>
      </c>
      <c r="M615" s="2"/>
      <c r="N615" s="1" t="str">
        <f t="shared" si="28"/>
        <v/>
      </c>
      <c r="O615" s="2"/>
      <c r="P615" s="2"/>
      <c r="Q615" s="2"/>
      <c r="R615" s="2"/>
      <c r="S615" s="1" t="str">
        <f t="shared" si="29"/>
        <v/>
      </c>
    </row>
    <row r="616" spans="1:19" x14ac:dyDescent="0.25">
      <c r="A616" s="2"/>
      <c r="F616" s="29"/>
      <c r="H616" s="1" t="str">
        <f t="shared" ca="1" si="27"/>
        <v/>
      </c>
      <c r="M616" s="2"/>
      <c r="N616" s="1" t="str">
        <f t="shared" si="28"/>
        <v/>
      </c>
      <c r="O616" s="2"/>
      <c r="P616" s="2"/>
      <c r="Q616" s="2"/>
      <c r="R616" s="2"/>
      <c r="S616" s="1" t="str">
        <f t="shared" si="29"/>
        <v/>
      </c>
    </row>
    <row r="617" spans="1:19" x14ac:dyDescent="0.25">
      <c r="A617" s="2"/>
      <c r="F617" s="29"/>
      <c r="H617" s="1" t="str">
        <f t="shared" ca="1" si="27"/>
        <v/>
      </c>
      <c r="M617" s="2"/>
      <c r="N617" s="1" t="str">
        <f t="shared" si="28"/>
        <v/>
      </c>
      <c r="O617" s="2"/>
      <c r="P617" s="2"/>
      <c r="Q617" s="2"/>
      <c r="R617" s="2"/>
      <c r="S617" s="1" t="str">
        <f t="shared" si="29"/>
        <v/>
      </c>
    </row>
    <row r="618" spans="1:19" x14ac:dyDescent="0.25">
      <c r="A618" s="2"/>
      <c r="F618" s="29"/>
      <c r="H618" s="1" t="str">
        <f t="shared" ca="1" si="27"/>
        <v/>
      </c>
      <c r="M618" s="2"/>
      <c r="N618" s="1" t="str">
        <f t="shared" si="28"/>
        <v/>
      </c>
      <c r="O618" s="2"/>
      <c r="P618" s="2"/>
      <c r="Q618" s="2"/>
      <c r="R618" s="2"/>
      <c r="S618" s="1" t="str">
        <f t="shared" si="29"/>
        <v/>
      </c>
    </row>
    <row r="619" spans="1:19" x14ac:dyDescent="0.25">
      <c r="A619" s="2"/>
      <c r="F619" s="29"/>
      <c r="H619" s="1" t="str">
        <f t="shared" ca="1" si="27"/>
        <v/>
      </c>
      <c r="M619" s="2"/>
      <c r="N619" s="1" t="str">
        <f t="shared" si="28"/>
        <v/>
      </c>
      <c r="O619" s="2"/>
      <c r="P619" s="2"/>
      <c r="Q619" s="2"/>
      <c r="R619" s="2"/>
      <c r="S619" s="1" t="str">
        <f t="shared" si="29"/>
        <v/>
      </c>
    </row>
    <row r="620" spans="1:19" x14ac:dyDescent="0.25">
      <c r="A620" s="2"/>
      <c r="F620" s="29"/>
      <c r="H620" s="1" t="str">
        <f t="shared" ca="1" si="27"/>
        <v/>
      </c>
      <c r="M620" s="2"/>
      <c r="N620" s="1" t="str">
        <f t="shared" si="28"/>
        <v/>
      </c>
      <c r="O620" s="2"/>
      <c r="P620" s="2"/>
      <c r="Q620" s="2"/>
      <c r="R620" s="2"/>
      <c r="S620" s="1" t="str">
        <f t="shared" si="29"/>
        <v/>
      </c>
    </row>
    <row r="621" spans="1:19" x14ac:dyDescent="0.25">
      <c r="A621" s="2"/>
      <c r="F621" s="29"/>
      <c r="H621" s="1" t="str">
        <f t="shared" ca="1" si="27"/>
        <v/>
      </c>
      <c r="M621" s="2"/>
      <c r="N621" s="1" t="str">
        <f t="shared" si="28"/>
        <v/>
      </c>
      <c r="O621" s="2"/>
      <c r="P621" s="2"/>
      <c r="Q621" s="2"/>
      <c r="R621" s="2"/>
      <c r="S621" s="1" t="str">
        <f t="shared" si="29"/>
        <v/>
      </c>
    </row>
    <row r="622" spans="1:19" x14ac:dyDescent="0.25">
      <c r="A622" s="2"/>
      <c r="F622" s="29"/>
      <c r="H622" s="1" t="str">
        <f t="shared" ca="1" si="27"/>
        <v/>
      </c>
      <c r="M622" s="2"/>
      <c r="N622" s="1" t="str">
        <f t="shared" si="28"/>
        <v/>
      </c>
      <c r="O622" s="2"/>
      <c r="P622" s="2"/>
      <c r="Q622" s="2"/>
      <c r="R622" s="2"/>
      <c r="S622" s="1" t="str">
        <f t="shared" si="29"/>
        <v/>
      </c>
    </row>
    <row r="623" spans="1:19" x14ac:dyDescent="0.25">
      <c r="A623" s="2"/>
      <c r="F623" s="29"/>
      <c r="H623" s="1" t="str">
        <f t="shared" ca="1" si="27"/>
        <v/>
      </c>
      <c r="M623" s="2"/>
      <c r="N623" s="1" t="str">
        <f t="shared" si="28"/>
        <v/>
      </c>
      <c r="O623" s="2"/>
      <c r="P623" s="2"/>
      <c r="Q623" s="2"/>
      <c r="R623" s="2"/>
      <c r="S623" s="1" t="str">
        <f t="shared" si="29"/>
        <v/>
      </c>
    </row>
    <row r="624" spans="1:19" x14ac:dyDescent="0.25">
      <c r="A624" s="2"/>
      <c r="F624" s="29"/>
      <c r="H624" s="1" t="str">
        <f t="shared" ca="1" si="27"/>
        <v/>
      </c>
      <c r="M624" s="2"/>
      <c r="N624" s="1" t="str">
        <f t="shared" si="28"/>
        <v/>
      </c>
      <c r="O624" s="2"/>
      <c r="P624" s="2"/>
      <c r="Q624" s="2"/>
      <c r="R624" s="2"/>
      <c r="S624" s="1" t="str">
        <f t="shared" si="29"/>
        <v/>
      </c>
    </row>
    <row r="625" spans="1:19" x14ac:dyDescent="0.25">
      <c r="A625" s="2"/>
      <c r="F625" s="29"/>
      <c r="H625" s="1" t="str">
        <f t="shared" ca="1" si="27"/>
        <v/>
      </c>
      <c r="M625" s="2"/>
      <c r="N625" s="1" t="str">
        <f t="shared" si="28"/>
        <v/>
      </c>
      <c r="O625" s="2"/>
      <c r="P625" s="2"/>
      <c r="Q625" s="2"/>
      <c r="R625" s="2"/>
      <c r="S625" s="1" t="str">
        <f t="shared" si="29"/>
        <v/>
      </c>
    </row>
    <row r="626" spans="1:19" x14ac:dyDescent="0.25">
      <c r="A626" s="2"/>
      <c r="F626" s="29"/>
      <c r="H626" s="1" t="str">
        <f t="shared" ca="1" si="27"/>
        <v/>
      </c>
      <c r="M626" s="2"/>
      <c r="N626" s="1" t="str">
        <f t="shared" si="28"/>
        <v/>
      </c>
      <c r="O626" s="2"/>
      <c r="P626" s="2"/>
      <c r="Q626" s="2"/>
      <c r="R626" s="2"/>
      <c r="S626" s="1" t="str">
        <f t="shared" si="29"/>
        <v/>
      </c>
    </row>
    <row r="627" spans="1:19" x14ac:dyDescent="0.25">
      <c r="A627" s="2"/>
      <c r="F627" s="29"/>
      <c r="H627" s="1" t="str">
        <f t="shared" ca="1" si="27"/>
        <v/>
      </c>
      <c r="M627" s="2"/>
      <c r="N627" s="1" t="str">
        <f t="shared" si="28"/>
        <v/>
      </c>
      <c r="O627" s="2"/>
      <c r="P627" s="2"/>
      <c r="Q627" s="2"/>
      <c r="R627" s="2"/>
      <c r="S627" s="1" t="str">
        <f t="shared" si="29"/>
        <v/>
      </c>
    </row>
    <row r="628" spans="1:19" x14ac:dyDescent="0.25">
      <c r="A628" s="2"/>
      <c r="F628" s="29"/>
      <c r="H628" s="1" t="str">
        <f t="shared" ca="1" si="27"/>
        <v/>
      </c>
      <c r="M628" s="2"/>
      <c r="N628" s="1" t="str">
        <f t="shared" si="28"/>
        <v/>
      </c>
      <c r="O628" s="2"/>
      <c r="P628" s="2"/>
      <c r="Q628" s="2"/>
      <c r="R628" s="2"/>
      <c r="S628" s="1" t="str">
        <f t="shared" si="29"/>
        <v/>
      </c>
    </row>
    <row r="629" spans="1:19" x14ac:dyDescent="0.25">
      <c r="A629" s="2"/>
      <c r="F629" s="29"/>
      <c r="H629" s="1" t="str">
        <f t="shared" ca="1" si="27"/>
        <v/>
      </c>
      <c r="M629" s="2"/>
      <c r="N629" s="1" t="str">
        <f t="shared" si="28"/>
        <v/>
      </c>
      <c r="O629" s="2"/>
      <c r="P629" s="2"/>
      <c r="Q629" s="2"/>
      <c r="R629" s="2"/>
      <c r="S629" s="1" t="str">
        <f t="shared" si="29"/>
        <v/>
      </c>
    </row>
    <row r="630" spans="1:19" x14ac:dyDescent="0.25">
      <c r="A630" s="2"/>
      <c r="F630" s="29"/>
      <c r="H630" s="1" t="str">
        <f t="shared" ca="1" si="27"/>
        <v/>
      </c>
      <c r="M630" s="2"/>
      <c r="N630" s="1" t="str">
        <f t="shared" si="28"/>
        <v/>
      </c>
      <c r="O630" s="2"/>
      <c r="P630" s="2"/>
      <c r="Q630" s="2"/>
      <c r="R630" s="2"/>
      <c r="S630" s="1" t="str">
        <f t="shared" si="29"/>
        <v/>
      </c>
    </row>
    <row r="631" spans="1:19" x14ac:dyDescent="0.25">
      <c r="A631" s="2"/>
      <c r="F631" s="29"/>
      <c r="H631" s="1" t="str">
        <f t="shared" ca="1" si="27"/>
        <v/>
      </c>
      <c r="M631" s="2"/>
      <c r="N631" s="1" t="str">
        <f t="shared" si="28"/>
        <v/>
      </c>
      <c r="O631" s="2"/>
      <c r="P631" s="2"/>
      <c r="Q631" s="2"/>
      <c r="R631" s="2"/>
      <c r="S631" s="1" t="str">
        <f t="shared" si="29"/>
        <v/>
      </c>
    </row>
    <row r="632" spans="1:19" x14ac:dyDescent="0.25">
      <c r="A632" s="2"/>
      <c r="F632" s="29"/>
      <c r="H632" s="1" t="str">
        <f t="shared" ca="1" si="27"/>
        <v/>
      </c>
      <c r="M632" s="2"/>
      <c r="N632" s="1" t="str">
        <f t="shared" si="28"/>
        <v/>
      </c>
      <c r="O632" s="2"/>
      <c r="P632" s="2"/>
      <c r="Q632" s="2"/>
      <c r="R632" s="2"/>
      <c r="S632" s="1" t="str">
        <f t="shared" si="29"/>
        <v/>
      </c>
    </row>
    <row r="633" spans="1:19" x14ac:dyDescent="0.25">
      <c r="A633" s="2"/>
      <c r="F633" s="29"/>
      <c r="H633" s="1" t="str">
        <f t="shared" ca="1" si="27"/>
        <v/>
      </c>
      <c r="M633" s="2"/>
      <c r="N633" s="1" t="str">
        <f t="shared" si="28"/>
        <v/>
      </c>
      <c r="O633" s="2"/>
      <c r="P633" s="2"/>
      <c r="Q633" s="2"/>
      <c r="R633" s="2"/>
      <c r="S633" s="1" t="str">
        <f t="shared" si="29"/>
        <v/>
      </c>
    </row>
    <row r="634" spans="1:19" x14ac:dyDescent="0.25">
      <c r="A634" s="2"/>
      <c r="F634" s="29"/>
      <c r="H634" s="1" t="str">
        <f t="shared" ca="1" si="27"/>
        <v/>
      </c>
      <c r="M634" s="2"/>
      <c r="N634" s="1" t="str">
        <f t="shared" si="28"/>
        <v/>
      </c>
      <c r="O634" s="2"/>
      <c r="P634" s="2"/>
      <c r="Q634" s="2"/>
      <c r="R634" s="2"/>
      <c r="S634" s="1" t="str">
        <f t="shared" si="29"/>
        <v/>
      </c>
    </row>
    <row r="635" spans="1:19" x14ac:dyDescent="0.25">
      <c r="A635" s="2"/>
      <c r="F635" s="29"/>
      <c r="H635" s="1" t="str">
        <f t="shared" ca="1" si="27"/>
        <v/>
      </c>
      <c r="M635" s="2"/>
      <c r="N635" s="1" t="str">
        <f t="shared" si="28"/>
        <v/>
      </c>
      <c r="O635" s="2"/>
      <c r="P635" s="2"/>
      <c r="Q635" s="2"/>
      <c r="R635" s="2"/>
      <c r="S635" s="1" t="str">
        <f t="shared" si="29"/>
        <v/>
      </c>
    </row>
    <row r="636" spans="1:19" x14ac:dyDescent="0.25">
      <c r="A636" s="2"/>
      <c r="F636" s="29"/>
      <c r="H636" s="1" t="str">
        <f t="shared" ref="H636:H699" ca="1" si="30">IF(A636="","",IF(ISNUMBER(M636),M636-A636,TODAY()-A636))</f>
        <v/>
      </c>
      <c r="M636" s="2"/>
      <c r="N636" s="1" t="str">
        <f t="shared" ref="N636:N699" si="31">IF(M636="","",IF(ISNUMBER(M636),"Closed","Open"))</f>
        <v/>
      </c>
      <c r="O636" s="2"/>
      <c r="P636" s="2"/>
      <c r="Q636" s="2"/>
      <c r="R636" s="2"/>
      <c r="S636" s="1" t="str">
        <f t="shared" ref="S636:S699" si="32">IF(Q636="","",R636-Q636)</f>
        <v/>
      </c>
    </row>
    <row r="637" spans="1:19" x14ac:dyDescent="0.25">
      <c r="A637" s="2"/>
      <c r="F637" s="29"/>
      <c r="H637" s="1" t="str">
        <f t="shared" ca="1" si="30"/>
        <v/>
      </c>
      <c r="M637" s="2"/>
      <c r="N637" s="1" t="str">
        <f t="shared" si="31"/>
        <v/>
      </c>
      <c r="O637" s="2"/>
      <c r="P637" s="2"/>
      <c r="Q637" s="2"/>
      <c r="R637" s="2"/>
      <c r="S637" s="1" t="str">
        <f t="shared" si="32"/>
        <v/>
      </c>
    </row>
    <row r="638" spans="1:19" x14ac:dyDescent="0.25">
      <c r="A638" s="2"/>
      <c r="F638" s="29"/>
      <c r="H638" s="1" t="str">
        <f t="shared" ca="1" si="30"/>
        <v/>
      </c>
      <c r="M638" s="2"/>
      <c r="N638" s="1" t="str">
        <f t="shared" si="31"/>
        <v/>
      </c>
      <c r="O638" s="2"/>
      <c r="P638" s="2"/>
      <c r="Q638" s="2"/>
      <c r="R638" s="2"/>
      <c r="S638" s="1" t="str">
        <f t="shared" si="32"/>
        <v/>
      </c>
    </row>
    <row r="639" spans="1:19" x14ac:dyDescent="0.25">
      <c r="A639" s="2"/>
      <c r="F639" s="29"/>
      <c r="H639" s="1" t="str">
        <f t="shared" ca="1" si="30"/>
        <v/>
      </c>
      <c r="M639" s="2"/>
      <c r="N639" s="1" t="str">
        <f t="shared" si="31"/>
        <v/>
      </c>
      <c r="O639" s="2"/>
      <c r="P639" s="2"/>
      <c r="Q639" s="2"/>
      <c r="R639" s="2"/>
      <c r="S639" s="1" t="str">
        <f t="shared" si="32"/>
        <v/>
      </c>
    </row>
    <row r="640" spans="1:19" x14ac:dyDescent="0.25">
      <c r="A640" s="2"/>
      <c r="F640" s="29"/>
      <c r="H640" s="1" t="str">
        <f t="shared" ca="1" si="30"/>
        <v/>
      </c>
      <c r="M640" s="2"/>
      <c r="N640" s="1" t="str">
        <f t="shared" si="31"/>
        <v/>
      </c>
      <c r="O640" s="2"/>
      <c r="P640" s="2"/>
      <c r="Q640" s="2"/>
      <c r="R640" s="2"/>
      <c r="S640" s="1" t="str">
        <f t="shared" si="32"/>
        <v/>
      </c>
    </row>
    <row r="641" spans="1:19" x14ac:dyDescent="0.25">
      <c r="A641" s="2"/>
      <c r="F641" s="29"/>
      <c r="H641" s="1" t="str">
        <f t="shared" ca="1" si="30"/>
        <v/>
      </c>
      <c r="M641" s="2"/>
      <c r="N641" s="1" t="str">
        <f t="shared" si="31"/>
        <v/>
      </c>
      <c r="O641" s="2"/>
      <c r="P641" s="2"/>
      <c r="Q641" s="2"/>
      <c r="R641" s="2"/>
      <c r="S641" s="1" t="str">
        <f t="shared" si="32"/>
        <v/>
      </c>
    </row>
    <row r="642" spans="1:19" x14ac:dyDescent="0.25">
      <c r="A642" s="2"/>
      <c r="F642" s="29"/>
      <c r="H642" s="1" t="str">
        <f t="shared" ca="1" si="30"/>
        <v/>
      </c>
      <c r="M642" s="2"/>
      <c r="N642" s="1" t="str">
        <f t="shared" si="31"/>
        <v/>
      </c>
      <c r="O642" s="2"/>
      <c r="P642" s="2"/>
      <c r="Q642" s="2"/>
      <c r="R642" s="2"/>
      <c r="S642" s="1" t="str">
        <f t="shared" si="32"/>
        <v/>
      </c>
    </row>
    <row r="643" spans="1:19" x14ac:dyDescent="0.25">
      <c r="A643" s="2"/>
      <c r="F643" s="29"/>
      <c r="H643" s="1" t="str">
        <f t="shared" ca="1" si="30"/>
        <v/>
      </c>
      <c r="M643" s="2"/>
      <c r="N643" s="1" t="str">
        <f t="shared" si="31"/>
        <v/>
      </c>
      <c r="O643" s="2"/>
      <c r="P643" s="2"/>
      <c r="Q643" s="2"/>
      <c r="R643" s="2"/>
      <c r="S643" s="1" t="str">
        <f t="shared" si="32"/>
        <v/>
      </c>
    </row>
    <row r="644" spans="1:19" x14ac:dyDescent="0.25">
      <c r="A644" s="2"/>
      <c r="F644" s="29"/>
      <c r="H644" s="1" t="str">
        <f t="shared" ca="1" si="30"/>
        <v/>
      </c>
      <c r="M644" s="2"/>
      <c r="N644" s="1" t="str">
        <f t="shared" si="31"/>
        <v/>
      </c>
      <c r="O644" s="2"/>
      <c r="P644" s="2"/>
      <c r="Q644" s="2"/>
      <c r="R644" s="2"/>
      <c r="S644" s="1" t="str">
        <f t="shared" si="32"/>
        <v/>
      </c>
    </row>
    <row r="645" spans="1:19" x14ac:dyDescent="0.25">
      <c r="A645" s="2"/>
      <c r="F645" s="29"/>
      <c r="H645" s="1" t="str">
        <f t="shared" ca="1" si="30"/>
        <v/>
      </c>
      <c r="M645" s="2"/>
      <c r="N645" s="1" t="str">
        <f t="shared" si="31"/>
        <v/>
      </c>
      <c r="O645" s="2"/>
      <c r="P645" s="2"/>
      <c r="Q645" s="2"/>
      <c r="R645" s="2"/>
      <c r="S645" s="1" t="str">
        <f t="shared" si="32"/>
        <v/>
      </c>
    </row>
    <row r="646" spans="1:19" x14ac:dyDescent="0.25">
      <c r="A646" s="2"/>
      <c r="F646" s="29"/>
      <c r="H646" s="1" t="str">
        <f t="shared" ca="1" si="30"/>
        <v/>
      </c>
      <c r="M646" s="2"/>
      <c r="N646" s="1" t="str">
        <f t="shared" si="31"/>
        <v/>
      </c>
      <c r="O646" s="2"/>
      <c r="P646" s="2"/>
      <c r="Q646" s="2"/>
      <c r="R646" s="2"/>
      <c r="S646" s="1" t="str">
        <f t="shared" si="32"/>
        <v/>
      </c>
    </row>
    <row r="647" spans="1:19" x14ac:dyDescent="0.25">
      <c r="A647" s="2"/>
      <c r="F647" s="29"/>
      <c r="H647" s="1" t="str">
        <f t="shared" ca="1" si="30"/>
        <v/>
      </c>
      <c r="M647" s="2"/>
      <c r="N647" s="1" t="str">
        <f t="shared" si="31"/>
        <v/>
      </c>
      <c r="O647" s="2"/>
      <c r="P647" s="2"/>
      <c r="Q647" s="2"/>
      <c r="R647" s="2"/>
      <c r="S647" s="1" t="str">
        <f t="shared" si="32"/>
        <v/>
      </c>
    </row>
    <row r="648" spans="1:19" x14ac:dyDescent="0.25">
      <c r="A648" s="2"/>
      <c r="F648" s="29"/>
      <c r="H648" s="1" t="str">
        <f t="shared" ca="1" si="30"/>
        <v/>
      </c>
      <c r="M648" s="2"/>
      <c r="N648" s="1" t="str">
        <f t="shared" si="31"/>
        <v/>
      </c>
      <c r="O648" s="2"/>
      <c r="P648" s="2"/>
      <c r="Q648" s="2"/>
      <c r="R648" s="2"/>
      <c r="S648" s="1" t="str">
        <f t="shared" si="32"/>
        <v/>
      </c>
    </row>
    <row r="649" spans="1:19" x14ac:dyDescent="0.25">
      <c r="A649" s="2"/>
      <c r="F649" s="29"/>
      <c r="H649" s="1" t="str">
        <f t="shared" ca="1" si="30"/>
        <v/>
      </c>
      <c r="M649" s="2"/>
      <c r="N649" s="1" t="str">
        <f t="shared" si="31"/>
        <v/>
      </c>
      <c r="O649" s="2"/>
      <c r="P649" s="2"/>
      <c r="Q649" s="2"/>
      <c r="R649" s="2"/>
      <c r="S649" s="1" t="str">
        <f t="shared" si="32"/>
        <v/>
      </c>
    </row>
    <row r="650" spans="1:19" x14ac:dyDescent="0.25">
      <c r="A650" s="2"/>
      <c r="F650" s="28"/>
      <c r="H650" s="1" t="str">
        <f t="shared" ca="1" si="30"/>
        <v/>
      </c>
      <c r="M650" s="2"/>
      <c r="N650" s="1" t="str">
        <f t="shared" si="31"/>
        <v/>
      </c>
      <c r="O650" s="2"/>
      <c r="P650" s="2"/>
      <c r="Q650" s="2"/>
      <c r="R650" s="2"/>
      <c r="S650" s="1" t="str">
        <f t="shared" si="32"/>
        <v/>
      </c>
    </row>
    <row r="651" spans="1:19" x14ac:dyDescent="0.25">
      <c r="A651" s="2"/>
      <c r="F651" s="28"/>
      <c r="H651" s="1" t="str">
        <f t="shared" ca="1" si="30"/>
        <v/>
      </c>
      <c r="M651" s="2"/>
      <c r="N651" s="1" t="str">
        <f t="shared" si="31"/>
        <v/>
      </c>
      <c r="O651" s="2"/>
      <c r="P651" s="2"/>
      <c r="Q651" s="2"/>
      <c r="R651" s="2"/>
      <c r="S651" s="1" t="str">
        <f t="shared" si="32"/>
        <v/>
      </c>
    </row>
    <row r="652" spans="1:19" x14ac:dyDescent="0.25">
      <c r="A652" s="2"/>
      <c r="F652" s="28"/>
      <c r="H652" s="1" t="str">
        <f t="shared" ca="1" si="30"/>
        <v/>
      </c>
      <c r="M652" s="2"/>
      <c r="N652" s="1" t="str">
        <f t="shared" si="31"/>
        <v/>
      </c>
      <c r="O652" s="2"/>
      <c r="P652" s="2"/>
      <c r="Q652" s="2"/>
      <c r="R652" s="2"/>
      <c r="S652" s="1" t="str">
        <f t="shared" si="32"/>
        <v/>
      </c>
    </row>
    <row r="653" spans="1:19" x14ac:dyDescent="0.25">
      <c r="A653" s="2"/>
      <c r="F653" s="28"/>
      <c r="H653" s="1" t="str">
        <f t="shared" ca="1" si="30"/>
        <v/>
      </c>
      <c r="M653" s="2"/>
      <c r="N653" s="1" t="str">
        <f t="shared" si="31"/>
        <v/>
      </c>
      <c r="O653" s="2"/>
      <c r="P653" s="2"/>
      <c r="Q653" s="2"/>
      <c r="R653" s="2"/>
      <c r="S653" s="1" t="str">
        <f t="shared" si="32"/>
        <v/>
      </c>
    </row>
    <row r="654" spans="1:19" x14ac:dyDescent="0.25">
      <c r="A654" s="2"/>
      <c r="F654" s="28"/>
      <c r="H654" s="1" t="str">
        <f t="shared" ca="1" si="30"/>
        <v/>
      </c>
      <c r="M654" s="2"/>
      <c r="N654" s="1" t="str">
        <f t="shared" si="31"/>
        <v/>
      </c>
      <c r="O654" s="2"/>
      <c r="P654" s="2"/>
      <c r="Q654" s="2"/>
      <c r="R654" s="2"/>
      <c r="S654" s="1" t="str">
        <f t="shared" si="32"/>
        <v/>
      </c>
    </row>
    <row r="655" spans="1:19" x14ac:dyDescent="0.25">
      <c r="A655" s="2"/>
      <c r="F655" s="28"/>
      <c r="H655" s="1" t="str">
        <f t="shared" ca="1" si="30"/>
        <v/>
      </c>
      <c r="M655" s="2"/>
      <c r="N655" s="1" t="str">
        <f t="shared" si="31"/>
        <v/>
      </c>
      <c r="O655" s="2"/>
      <c r="P655" s="2"/>
      <c r="Q655" s="2"/>
      <c r="R655" s="2"/>
      <c r="S655" s="1" t="str">
        <f t="shared" si="32"/>
        <v/>
      </c>
    </row>
    <row r="656" spans="1:19" x14ac:dyDescent="0.25">
      <c r="A656" s="2"/>
      <c r="F656" s="28"/>
      <c r="H656" s="1" t="str">
        <f t="shared" ca="1" si="30"/>
        <v/>
      </c>
      <c r="M656" s="2"/>
      <c r="N656" s="1" t="str">
        <f t="shared" si="31"/>
        <v/>
      </c>
      <c r="O656" s="2"/>
      <c r="P656" s="2"/>
      <c r="Q656" s="2"/>
      <c r="R656" s="2"/>
      <c r="S656" s="1" t="str">
        <f t="shared" si="32"/>
        <v/>
      </c>
    </row>
    <row r="657" spans="1:19" x14ac:dyDescent="0.25">
      <c r="A657" s="2"/>
      <c r="F657" s="28"/>
      <c r="H657" s="1" t="str">
        <f t="shared" ca="1" si="30"/>
        <v/>
      </c>
      <c r="M657" s="2"/>
      <c r="N657" s="1" t="str">
        <f t="shared" si="31"/>
        <v/>
      </c>
      <c r="O657" s="2"/>
      <c r="P657" s="2"/>
      <c r="Q657" s="2"/>
      <c r="R657" s="2"/>
      <c r="S657" s="1" t="str">
        <f t="shared" si="32"/>
        <v/>
      </c>
    </row>
    <row r="658" spans="1:19" x14ac:dyDescent="0.25">
      <c r="A658" s="2"/>
      <c r="F658" s="28"/>
      <c r="H658" s="1" t="str">
        <f t="shared" ca="1" si="30"/>
        <v/>
      </c>
      <c r="M658" s="2"/>
      <c r="N658" s="1" t="str">
        <f t="shared" si="31"/>
        <v/>
      </c>
      <c r="O658" s="2"/>
      <c r="P658" s="2"/>
      <c r="Q658" s="2"/>
      <c r="R658" s="2"/>
      <c r="S658" s="1" t="str">
        <f t="shared" si="32"/>
        <v/>
      </c>
    </row>
    <row r="659" spans="1:19" x14ac:dyDescent="0.25">
      <c r="A659" s="2"/>
      <c r="F659" s="28"/>
      <c r="H659" s="1" t="str">
        <f t="shared" ca="1" si="30"/>
        <v/>
      </c>
      <c r="M659" s="2"/>
      <c r="N659" s="1" t="str">
        <f t="shared" si="31"/>
        <v/>
      </c>
      <c r="O659" s="2"/>
      <c r="P659" s="2"/>
      <c r="Q659" s="2"/>
      <c r="R659" s="2"/>
      <c r="S659" s="1" t="str">
        <f t="shared" si="32"/>
        <v/>
      </c>
    </row>
    <row r="660" spans="1:19" x14ac:dyDescent="0.25">
      <c r="A660" s="2"/>
      <c r="F660" s="28"/>
      <c r="H660" s="1" t="str">
        <f t="shared" ca="1" si="30"/>
        <v/>
      </c>
      <c r="M660" s="2"/>
      <c r="N660" s="1" t="str">
        <f t="shared" si="31"/>
        <v/>
      </c>
      <c r="O660" s="2"/>
      <c r="P660" s="2"/>
      <c r="Q660" s="2"/>
      <c r="R660" s="2"/>
      <c r="S660" s="1" t="str">
        <f t="shared" si="32"/>
        <v/>
      </c>
    </row>
    <row r="661" spans="1:19" x14ac:dyDescent="0.25">
      <c r="A661" s="2"/>
      <c r="F661" s="28"/>
      <c r="H661" s="1" t="str">
        <f t="shared" ca="1" si="30"/>
        <v/>
      </c>
      <c r="M661" s="2"/>
      <c r="N661" s="1" t="str">
        <f t="shared" si="31"/>
        <v/>
      </c>
      <c r="O661" s="2"/>
      <c r="P661" s="2"/>
      <c r="Q661" s="2"/>
      <c r="R661" s="2"/>
      <c r="S661" s="1" t="str">
        <f t="shared" si="32"/>
        <v/>
      </c>
    </row>
    <row r="662" spans="1:19" x14ac:dyDescent="0.25">
      <c r="A662" s="2"/>
      <c r="F662" s="28"/>
      <c r="H662" s="1" t="str">
        <f t="shared" ca="1" si="30"/>
        <v/>
      </c>
      <c r="M662" s="2"/>
      <c r="N662" s="1" t="str">
        <f t="shared" si="31"/>
        <v/>
      </c>
      <c r="O662" s="2"/>
      <c r="P662" s="2"/>
      <c r="Q662" s="2"/>
      <c r="R662" s="2"/>
      <c r="S662" s="1" t="str">
        <f t="shared" si="32"/>
        <v/>
      </c>
    </row>
    <row r="663" spans="1:19" x14ac:dyDescent="0.25">
      <c r="A663" s="2"/>
      <c r="F663" s="28"/>
      <c r="H663" s="1" t="str">
        <f t="shared" ca="1" si="30"/>
        <v/>
      </c>
      <c r="M663" s="2"/>
      <c r="N663" s="1" t="str">
        <f t="shared" si="31"/>
        <v/>
      </c>
      <c r="O663" s="2"/>
      <c r="P663" s="2"/>
      <c r="Q663" s="2"/>
      <c r="R663" s="2"/>
      <c r="S663" s="1" t="str">
        <f t="shared" si="32"/>
        <v/>
      </c>
    </row>
    <row r="664" spans="1:19" x14ac:dyDescent="0.25">
      <c r="A664" s="2"/>
      <c r="F664" s="28"/>
      <c r="H664" s="1" t="str">
        <f t="shared" ca="1" si="30"/>
        <v/>
      </c>
      <c r="M664" s="2"/>
      <c r="N664" s="1" t="str">
        <f t="shared" si="31"/>
        <v/>
      </c>
      <c r="O664" s="2"/>
      <c r="P664" s="2"/>
      <c r="Q664" s="2"/>
      <c r="R664" s="2"/>
      <c r="S664" s="1" t="str">
        <f t="shared" si="32"/>
        <v/>
      </c>
    </row>
    <row r="665" spans="1:19" x14ac:dyDescent="0.25">
      <c r="A665" s="2"/>
      <c r="F665" s="28"/>
      <c r="H665" s="1" t="str">
        <f t="shared" ca="1" si="30"/>
        <v/>
      </c>
      <c r="M665" s="2"/>
      <c r="N665" s="1" t="str">
        <f t="shared" si="31"/>
        <v/>
      </c>
      <c r="O665" s="2"/>
      <c r="P665" s="2"/>
      <c r="Q665" s="2"/>
      <c r="R665" s="2"/>
      <c r="S665" s="1" t="str">
        <f t="shared" si="32"/>
        <v/>
      </c>
    </row>
    <row r="666" spans="1:19" x14ac:dyDescent="0.25">
      <c r="A666" s="2"/>
      <c r="F666" s="28"/>
      <c r="H666" s="1" t="str">
        <f t="shared" ca="1" si="30"/>
        <v/>
      </c>
      <c r="M666" s="2"/>
      <c r="N666" s="1" t="str">
        <f t="shared" si="31"/>
        <v/>
      </c>
      <c r="O666" s="2"/>
      <c r="P666" s="2"/>
      <c r="Q666" s="2"/>
      <c r="R666" s="2"/>
      <c r="S666" s="1" t="str">
        <f t="shared" si="32"/>
        <v/>
      </c>
    </row>
    <row r="667" spans="1:19" x14ac:dyDescent="0.25">
      <c r="A667" s="2"/>
      <c r="F667" s="28"/>
      <c r="H667" s="1" t="str">
        <f t="shared" ca="1" si="30"/>
        <v/>
      </c>
      <c r="M667" s="2"/>
      <c r="N667" s="1" t="str">
        <f t="shared" si="31"/>
        <v/>
      </c>
      <c r="O667" s="2"/>
      <c r="P667" s="2"/>
      <c r="Q667" s="2"/>
      <c r="R667" s="2"/>
      <c r="S667" s="1" t="str">
        <f t="shared" si="32"/>
        <v/>
      </c>
    </row>
    <row r="668" spans="1:19" x14ac:dyDescent="0.25">
      <c r="A668" s="2"/>
      <c r="F668" s="28"/>
      <c r="H668" s="1" t="str">
        <f t="shared" ca="1" si="30"/>
        <v/>
      </c>
      <c r="M668" s="2"/>
      <c r="N668" s="1" t="str">
        <f t="shared" si="31"/>
        <v/>
      </c>
      <c r="O668" s="2"/>
      <c r="P668" s="2"/>
      <c r="Q668" s="2"/>
      <c r="R668" s="2"/>
      <c r="S668" s="1" t="str">
        <f t="shared" si="32"/>
        <v/>
      </c>
    </row>
    <row r="669" spans="1:19" x14ac:dyDescent="0.25">
      <c r="A669" s="2"/>
      <c r="F669" s="28"/>
      <c r="H669" s="1" t="str">
        <f t="shared" ca="1" si="30"/>
        <v/>
      </c>
      <c r="M669" s="2"/>
      <c r="N669" s="1" t="str">
        <f t="shared" si="31"/>
        <v/>
      </c>
      <c r="O669" s="2"/>
      <c r="P669" s="2"/>
      <c r="Q669" s="2"/>
      <c r="R669" s="2"/>
      <c r="S669" s="1" t="str">
        <f t="shared" si="32"/>
        <v/>
      </c>
    </row>
    <row r="670" spans="1:19" x14ac:dyDescent="0.25">
      <c r="A670" s="2"/>
      <c r="F670" s="28"/>
      <c r="H670" s="1" t="str">
        <f t="shared" ca="1" si="30"/>
        <v/>
      </c>
      <c r="M670" s="2"/>
      <c r="N670" s="1" t="str">
        <f t="shared" si="31"/>
        <v/>
      </c>
      <c r="O670" s="2"/>
      <c r="P670" s="2"/>
      <c r="Q670" s="2"/>
      <c r="R670" s="2"/>
      <c r="S670" s="1" t="str">
        <f t="shared" si="32"/>
        <v/>
      </c>
    </row>
    <row r="671" spans="1:19" x14ac:dyDescent="0.25">
      <c r="A671" s="2"/>
      <c r="F671" s="28"/>
      <c r="H671" s="1" t="str">
        <f t="shared" ca="1" si="30"/>
        <v/>
      </c>
      <c r="M671" s="2"/>
      <c r="N671" s="1" t="str">
        <f t="shared" si="31"/>
        <v/>
      </c>
      <c r="O671" s="2"/>
      <c r="P671" s="2"/>
      <c r="Q671" s="2"/>
      <c r="R671" s="2"/>
      <c r="S671" s="1" t="str">
        <f t="shared" si="32"/>
        <v/>
      </c>
    </row>
    <row r="672" spans="1:19" x14ac:dyDescent="0.25">
      <c r="A672" s="2"/>
      <c r="F672" s="28"/>
      <c r="H672" s="1" t="str">
        <f t="shared" ca="1" si="30"/>
        <v/>
      </c>
      <c r="M672" s="2"/>
      <c r="N672" s="1" t="str">
        <f t="shared" si="31"/>
        <v/>
      </c>
      <c r="O672" s="2"/>
      <c r="P672" s="2"/>
      <c r="Q672" s="2"/>
      <c r="R672" s="2"/>
      <c r="S672" s="1" t="str">
        <f t="shared" si="32"/>
        <v/>
      </c>
    </row>
    <row r="673" spans="1:19" x14ac:dyDescent="0.25">
      <c r="A673" s="2"/>
      <c r="F673" s="28"/>
      <c r="H673" s="1" t="str">
        <f t="shared" ca="1" si="30"/>
        <v/>
      </c>
      <c r="M673" s="2"/>
      <c r="N673" s="1" t="str">
        <f t="shared" si="31"/>
        <v/>
      </c>
      <c r="O673" s="2"/>
      <c r="P673" s="2"/>
      <c r="Q673" s="2"/>
      <c r="R673" s="2"/>
      <c r="S673" s="1" t="str">
        <f t="shared" si="32"/>
        <v/>
      </c>
    </row>
    <row r="674" spans="1:19" x14ac:dyDescent="0.25">
      <c r="A674" s="2"/>
      <c r="F674" s="28"/>
      <c r="H674" s="1" t="str">
        <f t="shared" ca="1" si="30"/>
        <v/>
      </c>
      <c r="M674" s="2"/>
      <c r="N674" s="1" t="str">
        <f t="shared" si="31"/>
        <v/>
      </c>
      <c r="O674" s="2"/>
      <c r="P674" s="2"/>
      <c r="Q674" s="2"/>
      <c r="R674" s="2"/>
      <c r="S674" s="1" t="str">
        <f t="shared" si="32"/>
        <v/>
      </c>
    </row>
    <row r="675" spans="1:19" x14ac:dyDescent="0.25">
      <c r="A675" s="2"/>
      <c r="F675" s="28"/>
      <c r="H675" s="1" t="str">
        <f t="shared" ca="1" si="30"/>
        <v/>
      </c>
      <c r="M675" s="2"/>
      <c r="N675" s="1" t="str">
        <f t="shared" si="31"/>
        <v/>
      </c>
      <c r="O675" s="2"/>
      <c r="P675" s="2"/>
      <c r="Q675" s="2"/>
      <c r="R675" s="2"/>
      <c r="S675" s="1" t="str">
        <f t="shared" si="32"/>
        <v/>
      </c>
    </row>
    <row r="676" spans="1:19" x14ac:dyDescent="0.25">
      <c r="A676" s="2"/>
      <c r="F676" s="28"/>
      <c r="H676" s="1" t="str">
        <f t="shared" ca="1" si="30"/>
        <v/>
      </c>
      <c r="M676" s="2"/>
      <c r="N676" s="1" t="str">
        <f t="shared" si="31"/>
        <v/>
      </c>
      <c r="O676" s="2"/>
      <c r="P676" s="2"/>
      <c r="Q676" s="2"/>
      <c r="R676" s="2"/>
      <c r="S676" s="1" t="str">
        <f t="shared" si="32"/>
        <v/>
      </c>
    </row>
    <row r="677" spans="1:19" x14ac:dyDescent="0.25">
      <c r="A677" s="2"/>
      <c r="F677" s="28"/>
      <c r="H677" s="1" t="str">
        <f t="shared" ca="1" si="30"/>
        <v/>
      </c>
      <c r="M677" s="2"/>
      <c r="N677" s="1" t="str">
        <f t="shared" si="31"/>
        <v/>
      </c>
      <c r="O677" s="2"/>
      <c r="P677" s="2"/>
      <c r="Q677" s="2"/>
      <c r="R677" s="2"/>
      <c r="S677" s="1" t="str">
        <f t="shared" si="32"/>
        <v/>
      </c>
    </row>
    <row r="678" spans="1:19" x14ac:dyDescent="0.25">
      <c r="A678" s="2"/>
      <c r="F678" s="28"/>
      <c r="H678" s="1" t="str">
        <f t="shared" ca="1" si="30"/>
        <v/>
      </c>
      <c r="M678" s="2"/>
      <c r="N678" s="1" t="str">
        <f t="shared" si="31"/>
        <v/>
      </c>
      <c r="O678" s="2"/>
      <c r="P678" s="2"/>
      <c r="Q678" s="2"/>
      <c r="R678" s="2"/>
      <c r="S678" s="1" t="str">
        <f t="shared" si="32"/>
        <v/>
      </c>
    </row>
    <row r="679" spans="1:19" x14ac:dyDescent="0.25">
      <c r="A679" s="2"/>
      <c r="F679" s="28"/>
      <c r="H679" s="1" t="str">
        <f t="shared" ca="1" si="30"/>
        <v/>
      </c>
      <c r="M679" s="2"/>
      <c r="N679" s="1" t="str">
        <f t="shared" si="31"/>
        <v/>
      </c>
      <c r="O679" s="2"/>
      <c r="P679" s="2"/>
      <c r="Q679" s="2"/>
      <c r="R679" s="2"/>
      <c r="S679" s="1" t="str">
        <f t="shared" si="32"/>
        <v/>
      </c>
    </row>
    <row r="680" spans="1:19" x14ac:dyDescent="0.25">
      <c r="A680" s="2"/>
      <c r="F680" s="28"/>
      <c r="H680" s="1" t="str">
        <f t="shared" ca="1" si="30"/>
        <v/>
      </c>
      <c r="M680" s="2"/>
      <c r="N680" s="1" t="str">
        <f t="shared" si="31"/>
        <v/>
      </c>
      <c r="O680" s="2"/>
      <c r="P680" s="2"/>
      <c r="Q680" s="2"/>
      <c r="R680" s="2"/>
      <c r="S680" s="1" t="str">
        <f t="shared" si="32"/>
        <v/>
      </c>
    </row>
    <row r="681" spans="1:19" x14ac:dyDescent="0.25">
      <c r="A681" s="2"/>
      <c r="F681" s="28"/>
      <c r="H681" s="1" t="str">
        <f t="shared" ca="1" si="30"/>
        <v/>
      </c>
      <c r="M681" s="2"/>
      <c r="N681" s="1" t="str">
        <f t="shared" si="31"/>
        <v/>
      </c>
      <c r="O681" s="2"/>
      <c r="P681" s="2"/>
      <c r="Q681" s="2"/>
      <c r="R681" s="2"/>
      <c r="S681" s="1" t="str">
        <f t="shared" si="32"/>
        <v/>
      </c>
    </row>
    <row r="682" spans="1:19" x14ac:dyDescent="0.25">
      <c r="A682" s="2"/>
      <c r="F682" s="28"/>
      <c r="H682" s="1" t="str">
        <f t="shared" ca="1" si="30"/>
        <v/>
      </c>
      <c r="M682" s="2"/>
      <c r="N682" s="1" t="str">
        <f t="shared" si="31"/>
        <v/>
      </c>
      <c r="O682" s="2"/>
      <c r="P682" s="2"/>
      <c r="Q682" s="2"/>
      <c r="R682" s="2"/>
      <c r="S682" s="1" t="str">
        <f t="shared" si="32"/>
        <v/>
      </c>
    </row>
    <row r="683" spans="1:19" x14ac:dyDescent="0.25">
      <c r="A683" s="2"/>
      <c r="F683" s="28"/>
      <c r="H683" s="1" t="str">
        <f t="shared" ca="1" si="30"/>
        <v/>
      </c>
      <c r="M683" s="2"/>
      <c r="N683" s="1" t="str">
        <f t="shared" si="31"/>
        <v/>
      </c>
      <c r="O683" s="2"/>
      <c r="P683" s="2"/>
      <c r="Q683" s="2"/>
      <c r="R683" s="2"/>
      <c r="S683" s="1" t="str">
        <f t="shared" si="32"/>
        <v/>
      </c>
    </row>
    <row r="684" spans="1:19" x14ac:dyDescent="0.25">
      <c r="A684" s="2"/>
      <c r="F684" s="28"/>
      <c r="H684" s="1" t="str">
        <f t="shared" ca="1" si="30"/>
        <v/>
      </c>
      <c r="M684" s="2"/>
      <c r="N684" s="1" t="str">
        <f t="shared" si="31"/>
        <v/>
      </c>
      <c r="O684" s="2"/>
      <c r="P684" s="2"/>
      <c r="Q684" s="2"/>
      <c r="R684" s="2"/>
      <c r="S684" s="1" t="str">
        <f t="shared" si="32"/>
        <v/>
      </c>
    </row>
    <row r="685" spans="1:19" x14ac:dyDescent="0.25">
      <c r="A685" s="2"/>
      <c r="F685" s="28"/>
      <c r="H685" s="1" t="str">
        <f t="shared" ca="1" si="30"/>
        <v/>
      </c>
      <c r="M685" s="2"/>
      <c r="N685" s="1" t="str">
        <f t="shared" si="31"/>
        <v/>
      </c>
      <c r="O685" s="2"/>
      <c r="P685" s="2"/>
      <c r="Q685" s="2"/>
      <c r="R685" s="2"/>
      <c r="S685" s="1" t="str">
        <f t="shared" si="32"/>
        <v/>
      </c>
    </row>
    <row r="686" spans="1:19" x14ac:dyDescent="0.25">
      <c r="A686" s="2"/>
      <c r="F686" s="28"/>
      <c r="H686" s="1" t="str">
        <f t="shared" ca="1" si="30"/>
        <v/>
      </c>
      <c r="M686" s="2"/>
      <c r="N686" s="1" t="str">
        <f t="shared" si="31"/>
        <v/>
      </c>
      <c r="O686" s="2"/>
      <c r="P686" s="2"/>
      <c r="Q686" s="2"/>
      <c r="R686" s="2"/>
      <c r="S686" s="1" t="str">
        <f t="shared" si="32"/>
        <v/>
      </c>
    </row>
    <row r="687" spans="1:19" x14ac:dyDescent="0.25">
      <c r="A687" s="2"/>
      <c r="F687" s="28"/>
      <c r="H687" s="1" t="str">
        <f t="shared" ca="1" si="30"/>
        <v/>
      </c>
      <c r="M687" s="2"/>
      <c r="N687" s="1" t="str">
        <f t="shared" si="31"/>
        <v/>
      </c>
      <c r="O687" s="2"/>
      <c r="P687" s="2"/>
      <c r="Q687" s="2"/>
      <c r="R687" s="2"/>
      <c r="S687" s="1" t="str">
        <f t="shared" si="32"/>
        <v/>
      </c>
    </row>
    <row r="688" spans="1:19" x14ac:dyDescent="0.25">
      <c r="A688" s="2"/>
      <c r="F688" s="28"/>
      <c r="H688" s="1" t="str">
        <f t="shared" ca="1" si="30"/>
        <v/>
      </c>
      <c r="M688" s="2"/>
      <c r="N688" s="1" t="str">
        <f t="shared" si="31"/>
        <v/>
      </c>
      <c r="O688" s="2"/>
      <c r="P688" s="2"/>
      <c r="Q688" s="2"/>
      <c r="R688" s="2"/>
      <c r="S688" s="1" t="str">
        <f t="shared" si="32"/>
        <v/>
      </c>
    </row>
    <row r="689" spans="1:19" x14ac:dyDescent="0.25">
      <c r="A689" s="2"/>
      <c r="F689" s="28"/>
      <c r="H689" s="1" t="str">
        <f t="shared" ca="1" si="30"/>
        <v/>
      </c>
      <c r="M689" s="2"/>
      <c r="N689" s="1" t="str">
        <f t="shared" si="31"/>
        <v/>
      </c>
      <c r="O689" s="2"/>
      <c r="P689" s="2"/>
      <c r="Q689" s="2"/>
      <c r="R689" s="2"/>
      <c r="S689" s="1" t="str">
        <f t="shared" si="32"/>
        <v/>
      </c>
    </row>
    <row r="690" spans="1:19" x14ac:dyDescent="0.25">
      <c r="A690" s="2"/>
      <c r="F690" s="28"/>
      <c r="H690" s="1" t="str">
        <f t="shared" ca="1" si="30"/>
        <v/>
      </c>
      <c r="M690" s="2"/>
      <c r="N690" s="1" t="str">
        <f t="shared" si="31"/>
        <v/>
      </c>
      <c r="O690" s="2"/>
      <c r="P690" s="2"/>
      <c r="Q690" s="2"/>
      <c r="R690" s="2"/>
      <c r="S690" s="1" t="str">
        <f t="shared" si="32"/>
        <v/>
      </c>
    </row>
    <row r="691" spans="1:19" x14ac:dyDescent="0.25">
      <c r="A691" s="2"/>
      <c r="F691" s="28"/>
      <c r="H691" s="1" t="str">
        <f t="shared" ca="1" si="30"/>
        <v/>
      </c>
      <c r="M691" s="2"/>
      <c r="N691" s="1" t="str">
        <f t="shared" si="31"/>
        <v/>
      </c>
      <c r="O691" s="2"/>
      <c r="P691" s="2"/>
      <c r="Q691" s="2"/>
      <c r="R691" s="2"/>
      <c r="S691" s="1" t="str">
        <f t="shared" si="32"/>
        <v/>
      </c>
    </row>
    <row r="692" spans="1:19" x14ac:dyDescent="0.25">
      <c r="A692" s="2"/>
      <c r="F692" s="28"/>
      <c r="H692" s="1" t="str">
        <f t="shared" ca="1" si="30"/>
        <v/>
      </c>
      <c r="M692" s="2"/>
      <c r="N692" s="1" t="str">
        <f t="shared" si="31"/>
        <v/>
      </c>
      <c r="O692" s="2"/>
      <c r="P692" s="2"/>
      <c r="Q692" s="2"/>
      <c r="R692" s="2"/>
      <c r="S692" s="1" t="str">
        <f t="shared" si="32"/>
        <v/>
      </c>
    </row>
    <row r="693" spans="1:19" x14ac:dyDescent="0.25">
      <c r="A693" s="2"/>
      <c r="F693" s="28"/>
      <c r="H693" s="1" t="str">
        <f t="shared" ca="1" si="30"/>
        <v/>
      </c>
      <c r="M693" s="2"/>
      <c r="N693" s="1" t="str">
        <f t="shared" si="31"/>
        <v/>
      </c>
      <c r="O693" s="2"/>
      <c r="P693" s="2"/>
      <c r="Q693" s="2"/>
      <c r="R693" s="2"/>
      <c r="S693" s="1" t="str">
        <f t="shared" si="32"/>
        <v/>
      </c>
    </row>
    <row r="694" spans="1:19" x14ac:dyDescent="0.25">
      <c r="A694" s="2"/>
      <c r="F694" s="28"/>
      <c r="H694" s="1" t="str">
        <f t="shared" ca="1" si="30"/>
        <v/>
      </c>
      <c r="M694" s="2"/>
      <c r="N694" s="1" t="str">
        <f t="shared" si="31"/>
        <v/>
      </c>
      <c r="O694" s="2"/>
      <c r="P694" s="2"/>
      <c r="Q694" s="2"/>
      <c r="R694" s="2"/>
      <c r="S694" s="1" t="str">
        <f t="shared" si="32"/>
        <v/>
      </c>
    </row>
    <row r="695" spans="1:19" x14ac:dyDescent="0.25">
      <c r="A695" s="2"/>
      <c r="F695" s="28"/>
      <c r="H695" s="1" t="str">
        <f t="shared" ca="1" si="30"/>
        <v/>
      </c>
      <c r="M695" s="2"/>
      <c r="N695" s="1" t="str">
        <f t="shared" si="31"/>
        <v/>
      </c>
      <c r="O695" s="2"/>
      <c r="P695" s="2"/>
      <c r="Q695" s="2"/>
      <c r="R695" s="2"/>
      <c r="S695" s="1" t="str">
        <f t="shared" si="32"/>
        <v/>
      </c>
    </row>
    <row r="696" spans="1:19" x14ac:dyDescent="0.25">
      <c r="A696" s="2"/>
      <c r="F696" s="28"/>
      <c r="H696" s="1" t="str">
        <f t="shared" ca="1" si="30"/>
        <v/>
      </c>
      <c r="M696" s="2"/>
      <c r="N696" s="1" t="str">
        <f t="shared" si="31"/>
        <v/>
      </c>
      <c r="O696" s="2"/>
      <c r="P696" s="2"/>
      <c r="Q696" s="2"/>
      <c r="R696" s="2"/>
      <c r="S696" s="1" t="str">
        <f t="shared" si="32"/>
        <v/>
      </c>
    </row>
    <row r="697" spans="1:19" x14ac:dyDescent="0.25">
      <c r="A697" s="2"/>
      <c r="F697" s="28"/>
      <c r="H697" s="1" t="str">
        <f t="shared" ca="1" si="30"/>
        <v/>
      </c>
      <c r="M697" s="2"/>
      <c r="N697" s="1" t="str">
        <f t="shared" si="31"/>
        <v/>
      </c>
      <c r="O697" s="2"/>
      <c r="P697" s="2"/>
      <c r="Q697" s="2"/>
      <c r="R697" s="2"/>
      <c r="S697" s="1" t="str">
        <f t="shared" si="32"/>
        <v/>
      </c>
    </row>
    <row r="698" spans="1:19" x14ac:dyDescent="0.25">
      <c r="A698" s="2"/>
      <c r="F698" s="28"/>
      <c r="H698" s="1" t="str">
        <f t="shared" ca="1" si="30"/>
        <v/>
      </c>
      <c r="M698" s="2"/>
      <c r="N698" s="1" t="str">
        <f t="shared" si="31"/>
        <v/>
      </c>
      <c r="O698" s="2"/>
      <c r="P698" s="2"/>
      <c r="Q698" s="2"/>
      <c r="R698" s="2"/>
      <c r="S698" s="1" t="str">
        <f t="shared" si="32"/>
        <v/>
      </c>
    </row>
    <row r="699" spans="1:19" x14ac:dyDescent="0.25">
      <c r="A699" s="2"/>
      <c r="F699" s="28"/>
      <c r="H699" s="1" t="str">
        <f t="shared" ca="1" si="30"/>
        <v/>
      </c>
      <c r="M699" s="2"/>
      <c r="N699" s="1" t="str">
        <f t="shared" si="31"/>
        <v/>
      </c>
      <c r="O699" s="2"/>
      <c r="P699" s="2"/>
      <c r="Q699" s="2"/>
      <c r="R699" s="2"/>
      <c r="S699" s="1" t="str">
        <f t="shared" si="32"/>
        <v/>
      </c>
    </row>
    <row r="700" spans="1:19" x14ac:dyDescent="0.25">
      <c r="A700" s="2"/>
      <c r="F700" s="28"/>
      <c r="H700" s="1" t="str">
        <f t="shared" ref="H700:H763" ca="1" si="33">IF(A700="","",IF(ISNUMBER(M700),M700-A700,TODAY()-A700))</f>
        <v/>
      </c>
      <c r="M700" s="2"/>
      <c r="N700" s="1" t="str">
        <f t="shared" ref="N700:N763" si="34">IF(M700="","",IF(ISNUMBER(M700),"Closed","Open"))</f>
        <v/>
      </c>
      <c r="O700" s="2"/>
      <c r="P700" s="2"/>
      <c r="Q700" s="2"/>
      <c r="R700" s="2"/>
      <c r="S700" s="1" t="str">
        <f t="shared" ref="S700:S763" si="35">IF(Q700="","",R700-Q700)</f>
        <v/>
      </c>
    </row>
    <row r="701" spans="1:19" x14ac:dyDescent="0.25">
      <c r="A701" s="2"/>
      <c r="F701" s="28"/>
      <c r="H701" s="1" t="str">
        <f t="shared" ca="1" si="33"/>
        <v/>
      </c>
      <c r="M701" s="2"/>
      <c r="N701" s="1" t="str">
        <f t="shared" si="34"/>
        <v/>
      </c>
      <c r="O701" s="2"/>
      <c r="P701" s="2"/>
      <c r="Q701" s="2"/>
      <c r="R701" s="2"/>
      <c r="S701" s="1" t="str">
        <f t="shared" si="35"/>
        <v/>
      </c>
    </row>
    <row r="702" spans="1:19" x14ac:dyDescent="0.25">
      <c r="A702" s="2"/>
      <c r="F702" s="28"/>
      <c r="H702" s="1" t="str">
        <f t="shared" ca="1" si="33"/>
        <v/>
      </c>
      <c r="M702" s="2"/>
      <c r="N702" s="1" t="str">
        <f t="shared" si="34"/>
        <v/>
      </c>
      <c r="O702" s="2"/>
      <c r="P702" s="2"/>
      <c r="Q702" s="2"/>
      <c r="R702" s="2"/>
      <c r="S702" s="1" t="str">
        <f t="shared" si="35"/>
        <v/>
      </c>
    </row>
    <row r="703" spans="1:19" x14ac:dyDescent="0.25">
      <c r="A703" s="2"/>
      <c r="F703" s="28"/>
      <c r="H703" s="1" t="str">
        <f t="shared" ca="1" si="33"/>
        <v/>
      </c>
      <c r="M703" s="2"/>
      <c r="N703" s="1" t="str">
        <f t="shared" si="34"/>
        <v/>
      </c>
      <c r="O703" s="2"/>
      <c r="P703" s="2"/>
      <c r="Q703" s="2"/>
      <c r="R703" s="2"/>
      <c r="S703" s="1" t="str">
        <f t="shared" si="35"/>
        <v/>
      </c>
    </row>
    <row r="704" spans="1:19" x14ac:dyDescent="0.25">
      <c r="A704" s="2"/>
      <c r="F704" s="28"/>
      <c r="H704" s="1" t="str">
        <f t="shared" ca="1" si="33"/>
        <v/>
      </c>
      <c r="M704" s="2"/>
      <c r="N704" s="1" t="str">
        <f t="shared" si="34"/>
        <v/>
      </c>
      <c r="O704" s="2"/>
      <c r="P704" s="2"/>
      <c r="Q704" s="2"/>
      <c r="R704" s="2"/>
      <c r="S704" s="1" t="str">
        <f t="shared" si="35"/>
        <v/>
      </c>
    </row>
    <row r="705" spans="1:19" x14ac:dyDescent="0.25">
      <c r="A705" s="2"/>
      <c r="F705" s="28"/>
      <c r="H705" s="1" t="str">
        <f t="shared" ca="1" si="33"/>
        <v/>
      </c>
      <c r="M705" s="2"/>
      <c r="N705" s="1" t="str">
        <f t="shared" si="34"/>
        <v/>
      </c>
      <c r="O705" s="2"/>
      <c r="P705" s="2"/>
      <c r="Q705" s="2"/>
      <c r="R705" s="2"/>
      <c r="S705" s="1" t="str">
        <f t="shared" si="35"/>
        <v/>
      </c>
    </row>
    <row r="706" spans="1:19" x14ac:dyDescent="0.25">
      <c r="A706" s="2"/>
      <c r="F706" s="28"/>
      <c r="H706" s="1" t="str">
        <f t="shared" ca="1" si="33"/>
        <v/>
      </c>
      <c r="M706" s="2"/>
      <c r="N706" s="1" t="str">
        <f t="shared" si="34"/>
        <v/>
      </c>
      <c r="O706" s="2"/>
      <c r="P706" s="2"/>
      <c r="Q706" s="2"/>
      <c r="R706" s="2"/>
      <c r="S706" s="1" t="str">
        <f t="shared" si="35"/>
        <v/>
      </c>
    </row>
    <row r="707" spans="1:19" x14ac:dyDescent="0.25">
      <c r="A707" s="2"/>
      <c r="F707" s="28"/>
      <c r="H707" s="1" t="str">
        <f t="shared" ca="1" si="33"/>
        <v/>
      </c>
      <c r="M707" s="2"/>
      <c r="N707" s="1" t="str">
        <f t="shared" si="34"/>
        <v/>
      </c>
      <c r="O707" s="2"/>
      <c r="P707" s="2"/>
      <c r="Q707" s="2"/>
      <c r="R707" s="2"/>
      <c r="S707" s="1" t="str">
        <f t="shared" si="35"/>
        <v/>
      </c>
    </row>
    <row r="708" spans="1:19" x14ac:dyDescent="0.25">
      <c r="A708" s="2"/>
      <c r="F708" s="28"/>
      <c r="H708" s="1" t="str">
        <f t="shared" ca="1" si="33"/>
        <v/>
      </c>
      <c r="M708" s="2"/>
      <c r="N708" s="1" t="str">
        <f t="shared" si="34"/>
        <v/>
      </c>
      <c r="O708" s="2"/>
      <c r="P708" s="2"/>
      <c r="Q708" s="2"/>
      <c r="R708" s="2"/>
      <c r="S708" s="1" t="str">
        <f t="shared" si="35"/>
        <v/>
      </c>
    </row>
    <row r="709" spans="1:19" x14ac:dyDescent="0.25">
      <c r="A709" s="2"/>
      <c r="F709" s="28"/>
      <c r="H709" s="1" t="str">
        <f t="shared" ca="1" si="33"/>
        <v/>
      </c>
      <c r="M709" s="2"/>
      <c r="N709" s="1" t="str">
        <f t="shared" si="34"/>
        <v/>
      </c>
      <c r="O709" s="2"/>
      <c r="P709" s="2"/>
      <c r="Q709" s="2"/>
      <c r="R709" s="2"/>
      <c r="S709" s="1" t="str">
        <f t="shared" si="35"/>
        <v/>
      </c>
    </row>
    <row r="710" spans="1:19" x14ac:dyDescent="0.25">
      <c r="A710" s="2"/>
      <c r="F710" s="28"/>
      <c r="H710" s="1" t="str">
        <f t="shared" ca="1" si="33"/>
        <v/>
      </c>
      <c r="M710" s="2"/>
      <c r="N710" s="1" t="str">
        <f t="shared" si="34"/>
        <v/>
      </c>
      <c r="O710" s="2"/>
      <c r="P710" s="2"/>
      <c r="Q710" s="2"/>
      <c r="R710" s="2"/>
      <c r="S710" s="1" t="str">
        <f t="shared" si="35"/>
        <v/>
      </c>
    </row>
    <row r="711" spans="1:19" x14ac:dyDescent="0.25">
      <c r="A711" s="2"/>
      <c r="F711" s="28"/>
      <c r="H711" s="1" t="str">
        <f t="shared" ca="1" si="33"/>
        <v/>
      </c>
      <c r="M711" s="2"/>
      <c r="N711" s="1" t="str">
        <f t="shared" si="34"/>
        <v/>
      </c>
      <c r="O711" s="2"/>
      <c r="P711" s="2"/>
      <c r="Q711" s="2"/>
      <c r="R711" s="2"/>
      <c r="S711" s="1" t="str">
        <f t="shared" si="35"/>
        <v/>
      </c>
    </row>
    <row r="712" spans="1:19" x14ac:dyDescent="0.25">
      <c r="A712" s="2"/>
      <c r="F712" s="28"/>
      <c r="H712" s="1" t="str">
        <f t="shared" ca="1" si="33"/>
        <v/>
      </c>
      <c r="M712" s="2"/>
      <c r="N712" s="1" t="str">
        <f t="shared" si="34"/>
        <v/>
      </c>
      <c r="O712" s="2"/>
      <c r="P712" s="2"/>
      <c r="Q712" s="2"/>
      <c r="R712" s="2"/>
      <c r="S712" s="1" t="str">
        <f t="shared" si="35"/>
        <v/>
      </c>
    </row>
    <row r="713" spans="1:19" x14ac:dyDescent="0.25">
      <c r="A713" s="2"/>
      <c r="F713" s="28"/>
      <c r="H713" s="1" t="str">
        <f t="shared" ca="1" si="33"/>
        <v/>
      </c>
      <c r="M713" s="2"/>
      <c r="N713" s="1" t="str">
        <f t="shared" si="34"/>
        <v/>
      </c>
      <c r="O713" s="2"/>
      <c r="P713" s="2"/>
      <c r="Q713" s="2"/>
      <c r="R713" s="2"/>
      <c r="S713" s="1" t="str">
        <f t="shared" si="35"/>
        <v/>
      </c>
    </row>
    <row r="714" spans="1:19" x14ac:dyDescent="0.25">
      <c r="A714" s="2"/>
      <c r="F714" s="28"/>
      <c r="H714" s="1" t="str">
        <f t="shared" ca="1" si="33"/>
        <v/>
      </c>
      <c r="M714" s="2"/>
      <c r="N714" s="1" t="str">
        <f t="shared" si="34"/>
        <v/>
      </c>
      <c r="O714" s="2"/>
      <c r="P714" s="2"/>
      <c r="Q714" s="2"/>
      <c r="R714" s="2"/>
      <c r="S714" s="1" t="str">
        <f t="shared" si="35"/>
        <v/>
      </c>
    </row>
    <row r="715" spans="1:19" x14ac:dyDescent="0.25">
      <c r="A715" s="2"/>
      <c r="F715" s="28"/>
      <c r="H715" s="1" t="str">
        <f t="shared" ca="1" si="33"/>
        <v/>
      </c>
      <c r="M715" s="2"/>
      <c r="N715" s="1" t="str">
        <f t="shared" si="34"/>
        <v/>
      </c>
      <c r="O715" s="2"/>
      <c r="P715" s="2"/>
      <c r="Q715" s="2"/>
      <c r="R715" s="2"/>
      <c r="S715" s="1" t="str">
        <f t="shared" si="35"/>
        <v/>
      </c>
    </row>
    <row r="716" spans="1:19" x14ac:dyDescent="0.25">
      <c r="A716" s="2"/>
      <c r="F716" s="28"/>
      <c r="H716" s="1" t="str">
        <f t="shared" ca="1" si="33"/>
        <v/>
      </c>
      <c r="M716" s="2"/>
      <c r="N716" s="1" t="str">
        <f t="shared" si="34"/>
        <v/>
      </c>
      <c r="O716" s="2"/>
      <c r="P716" s="2"/>
      <c r="Q716" s="2"/>
      <c r="R716" s="2"/>
      <c r="S716" s="1" t="str">
        <f t="shared" si="35"/>
        <v/>
      </c>
    </row>
    <row r="717" spans="1:19" x14ac:dyDescent="0.25">
      <c r="A717" s="2"/>
      <c r="F717" s="28"/>
      <c r="H717" s="1" t="str">
        <f t="shared" ca="1" si="33"/>
        <v/>
      </c>
      <c r="M717" s="2"/>
      <c r="N717" s="1" t="str">
        <f t="shared" si="34"/>
        <v/>
      </c>
      <c r="O717" s="2"/>
      <c r="P717" s="2"/>
      <c r="Q717" s="2"/>
      <c r="R717" s="2"/>
      <c r="S717" s="1" t="str">
        <f t="shared" si="35"/>
        <v/>
      </c>
    </row>
    <row r="718" spans="1:19" x14ac:dyDescent="0.25">
      <c r="A718" s="2"/>
      <c r="F718" s="28"/>
      <c r="H718" s="1" t="str">
        <f t="shared" ca="1" si="33"/>
        <v/>
      </c>
      <c r="M718" s="2"/>
      <c r="N718" s="1" t="str">
        <f t="shared" si="34"/>
        <v/>
      </c>
      <c r="O718" s="2"/>
      <c r="P718" s="2"/>
      <c r="Q718" s="2"/>
      <c r="R718" s="2"/>
      <c r="S718" s="1" t="str">
        <f t="shared" si="35"/>
        <v/>
      </c>
    </row>
    <row r="719" spans="1:19" x14ac:dyDescent="0.25">
      <c r="A719" s="2"/>
      <c r="F719" s="28"/>
      <c r="H719" s="1" t="str">
        <f t="shared" ca="1" si="33"/>
        <v/>
      </c>
      <c r="M719" s="2"/>
      <c r="N719" s="1" t="str">
        <f t="shared" si="34"/>
        <v/>
      </c>
      <c r="O719" s="2"/>
      <c r="P719" s="2"/>
      <c r="Q719" s="2"/>
      <c r="R719" s="2"/>
      <c r="S719" s="1" t="str">
        <f t="shared" si="35"/>
        <v/>
      </c>
    </row>
    <row r="720" spans="1:19" x14ac:dyDescent="0.25">
      <c r="A720" s="2"/>
      <c r="F720" s="28"/>
      <c r="H720" s="1" t="str">
        <f t="shared" ca="1" si="33"/>
        <v/>
      </c>
      <c r="M720" s="2"/>
      <c r="N720" s="1" t="str">
        <f t="shared" si="34"/>
        <v/>
      </c>
      <c r="O720" s="2"/>
      <c r="P720" s="2"/>
      <c r="Q720" s="2"/>
      <c r="R720" s="2"/>
      <c r="S720" s="1" t="str">
        <f t="shared" si="35"/>
        <v/>
      </c>
    </row>
    <row r="721" spans="1:19" x14ac:dyDescent="0.25">
      <c r="A721" s="2"/>
      <c r="F721" s="28"/>
      <c r="H721" s="1" t="str">
        <f t="shared" ca="1" si="33"/>
        <v/>
      </c>
      <c r="M721" s="2"/>
      <c r="N721" s="1" t="str">
        <f t="shared" si="34"/>
        <v/>
      </c>
      <c r="O721" s="2"/>
      <c r="P721" s="2"/>
      <c r="Q721" s="2"/>
      <c r="R721" s="2"/>
      <c r="S721" s="1" t="str">
        <f t="shared" si="35"/>
        <v/>
      </c>
    </row>
    <row r="722" spans="1:19" x14ac:dyDescent="0.25">
      <c r="A722" s="2"/>
      <c r="F722" s="28"/>
      <c r="H722" s="1" t="str">
        <f t="shared" ca="1" si="33"/>
        <v/>
      </c>
      <c r="M722" s="2"/>
      <c r="N722" s="1" t="str">
        <f t="shared" si="34"/>
        <v/>
      </c>
      <c r="O722" s="2"/>
      <c r="P722" s="2"/>
      <c r="Q722" s="2"/>
      <c r="R722" s="2"/>
      <c r="S722" s="1" t="str">
        <f t="shared" si="35"/>
        <v/>
      </c>
    </row>
    <row r="723" spans="1:19" x14ac:dyDescent="0.25">
      <c r="A723" s="2"/>
      <c r="F723" s="28"/>
      <c r="H723" s="1" t="str">
        <f t="shared" ca="1" si="33"/>
        <v/>
      </c>
      <c r="M723" s="2"/>
      <c r="N723" s="1" t="str">
        <f t="shared" si="34"/>
        <v/>
      </c>
      <c r="O723" s="2"/>
      <c r="P723" s="2"/>
      <c r="Q723" s="2"/>
      <c r="R723" s="2"/>
      <c r="S723" s="1" t="str">
        <f t="shared" si="35"/>
        <v/>
      </c>
    </row>
    <row r="724" spans="1:19" x14ac:dyDescent="0.25">
      <c r="A724" s="2"/>
      <c r="F724" s="28"/>
      <c r="H724" s="1" t="str">
        <f t="shared" ca="1" si="33"/>
        <v/>
      </c>
      <c r="M724" s="2"/>
      <c r="N724" s="1" t="str">
        <f t="shared" si="34"/>
        <v/>
      </c>
      <c r="O724" s="2"/>
      <c r="P724" s="2"/>
      <c r="Q724" s="2"/>
      <c r="R724" s="2"/>
      <c r="S724" s="1" t="str">
        <f t="shared" si="35"/>
        <v/>
      </c>
    </row>
    <row r="725" spans="1:19" x14ac:dyDescent="0.25">
      <c r="A725" s="2"/>
      <c r="F725" s="28"/>
      <c r="H725" s="1" t="str">
        <f t="shared" ca="1" si="33"/>
        <v/>
      </c>
      <c r="M725" s="2"/>
      <c r="N725" s="1" t="str">
        <f t="shared" si="34"/>
        <v/>
      </c>
      <c r="O725" s="2"/>
      <c r="P725" s="2"/>
      <c r="Q725" s="2"/>
      <c r="R725" s="2"/>
      <c r="S725" s="1" t="str">
        <f t="shared" si="35"/>
        <v/>
      </c>
    </row>
    <row r="726" spans="1:19" x14ac:dyDescent="0.25">
      <c r="A726" s="2"/>
      <c r="F726" s="28"/>
      <c r="H726" s="1" t="str">
        <f t="shared" ca="1" si="33"/>
        <v/>
      </c>
      <c r="M726" s="2"/>
      <c r="N726" s="1" t="str">
        <f t="shared" si="34"/>
        <v/>
      </c>
      <c r="O726" s="2"/>
      <c r="P726" s="2"/>
      <c r="Q726" s="2"/>
      <c r="R726" s="2"/>
      <c r="S726" s="1" t="str">
        <f t="shared" si="35"/>
        <v/>
      </c>
    </row>
    <row r="727" spans="1:19" x14ac:dyDescent="0.25">
      <c r="A727" s="2"/>
      <c r="F727" s="28"/>
      <c r="H727" s="1" t="str">
        <f t="shared" ca="1" si="33"/>
        <v/>
      </c>
      <c r="M727" s="2"/>
      <c r="N727" s="1" t="str">
        <f t="shared" si="34"/>
        <v/>
      </c>
      <c r="O727" s="2"/>
      <c r="P727" s="2"/>
      <c r="Q727" s="2"/>
      <c r="R727" s="2"/>
      <c r="S727" s="1" t="str">
        <f t="shared" si="35"/>
        <v/>
      </c>
    </row>
    <row r="728" spans="1:19" x14ac:dyDescent="0.25">
      <c r="A728" s="2"/>
      <c r="F728" s="28"/>
      <c r="H728" s="1" t="str">
        <f t="shared" ca="1" si="33"/>
        <v/>
      </c>
      <c r="M728" s="2"/>
      <c r="N728" s="1" t="str">
        <f t="shared" si="34"/>
        <v/>
      </c>
      <c r="O728" s="2"/>
      <c r="P728" s="2"/>
      <c r="Q728" s="2"/>
      <c r="R728" s="2"/>
      <c r="S728" s="1" t="str">
        <f t="shared" si="35"/>
        <v/>
      </c>
    </row>
    <row r="729" spans="1:19" x14ac:dyDescent="0.25">
      <c r="A729" s="2"/>
      <c r="F729" s="28"/>
      <c r="H729" s="1" t="str">
        <f t="shared" ca="1" si="33"/>
        <v/>
      </c>
      <c r="M729" s="2"/>
      <c r="N729" s="1" t="str">
        <f t="shared" si="34"/>
        <v/>
      </c>
      <c r="O729" s="2"/>
      <c r="P729" s="2"/>
      <c r="Q729" s="2"/>
      <c r="R729" s="2"/>
      <c r="S729" s="1" t="str">
        <f t="shared" si="35"/>
        <v/>
      </c>
    </row>
    <row r="730" spans="1:19" x14ac:dyDescent="0.25">
      <c r="A730" s="2"/>
      <c r="F730" s="28"/>
      <c r="H730" s="1" t="str">
        <f t="shared" ca="1" si="33"/>
        <v/>
      </c>
      <c r="M730" s="2"/>
      <c r="N730" s="1" t="str">
        <f t="shared" si="34"/>
        <v/>
      </c>
      <c r="O730" s="2"/>
      <c r="P730" s="2"/>
      <c r="Q730" s="2"/>
      <c r="R730" s="2"/>
      <c r="S730" s="1" t="str">
        <f t="shared" si="35"/>
        <v/>
      </c>
    </row>
    <row r="731" spans="1:19" x14ac:dyDescent="0.25">
      <c r="A731" s="2"/>
      <c r="F731" s="28"/>
      <c r="H731" s="1" t="str">
        <f t="shared" ca="1" si="33"/>
        <v/>
      </c>
      <c r="M731" s="2"/>
      <c r="N731" s="1" t="str">
        <f t="shared" si="34"/>
        <v/>
      </c>
      <c r="O731" s="2"/>
      <c r="P731" s="2"/>
      <c r="Q731" s="2"/>
      <c r="R731" s="2"/>
      <c r="S731" s="1" t="str">
        <f t="shared" si="35"/>
        <v/>
      </c>
    </row>
    <row r="732" spans="1:19" x14ac:dyDescent="0.25">
      <c r="A732" s="2"/>
      <c r="F732" s="28"/>
      <c r="H732" s="1" t="str">
        <f t="shared" ca="1" si="33"/>
        <v/>
      </c>
      <c r="M732" s="2"/>
      <c r="N732" s="1" t="str">
        <f t="shared" si="34"/>
        <v/>
      </c>
      <c r="O732" s="2"/>
      <c r="P732" s="2"/>
      <c r="Q732" s="2"/>
      <c r="R732" s="2"/>
      <c r="S732" s="1" t="str">
        <f t="shared" si="35"/>
        <v/>
      </c>
    </row>
    <row r="733" spans="1:19" x14ac:dyDescent="0.25">
      <c r="A733" s="2"/>
      <c r="F733" s="28"/>
      <c r="H733" s="1" t="str">
        <f t="shared" ca="1" si="33"/>
        <v/>
      </c>
      <c r="M733" s="2"/>
      <c r="N733" s="1" t="str">
        <f t="shared" si="34"/>
        <v/>
      </c>
      <c r="O733" s="2"/>
      <c r="P733" s="2"/>
      <c r="Q733" s="2"/>
      <c r="R733" s="2"/>
      <c r="S733" s="1" t="str">
        <f t="shared" si="35"/>
        <v/>
      </c>
    </row>
    <row r="734" spans="1:19" x14ac:dyDescent="0.25">
      <c r="A734" s="2"/>
      <c r="F734" s="28"/>
      <c r="H734" s="1" t="str">
        <f t="shared" ca="1" si="33"/>
        <v/>
      </c>
      <c r="M734" s="2"/>
      <c r="N734" s="1" t="str">
        <f t="shared" si="34"/>
        <v/>
      </c>
      <c r="O734" s="2"/>
      <c r="P734" s="2"/>
      <c r="Q734" s="2"/>
      <c r="R734" s="2"/>
      <c r="S734" s="1" t="str">
        <f t="shared" si="35"/>
        <v/>
      </c>
    </row>
    <row r="735" spans="1:19" x14ac:dyDescent="0.25">
      <c r="A735" s="2"/>
      <c r="F735" s="28"/>
      <c r="H735" s="1" t="str">
        <f t="shared" ca="1" si="33"/>
        <v/>
      </c>
      <c r="M735" s="2"/>
      <c r="N735" s="1" t="str">
        <f t="shared" si="34"/>
        <v/>
      </c>
      <c r="O735" s="2"/>
      <c r="P735" s="2"/>
      <c r="Q735" s="2"/>
      <c r="R735" s="2"/>
      <c r="S735" s="1" t="str">
        <f t="shared" si="35"/>
        <v/>
      </c>
    </row>
    <row r="736" spans="1:19" x14ac:dyDescent="0.25">
      <c r="A736" s="2"/>
      <c r="F736" s="28"/>
      <c r="H736" s="1" t="str">
        <f t="shared" ca="1" si="33"/>
        <v/>
      </c>
      <c r="M736" s="2"/>
      <c r="N736" s="1" t="str">
        <f t="shared" si="34"/>
        <v/>
      </c>
      <c r="O736" s="2"/>
      <c r="P736" s="2"/>
      <c r="Q736" s="2"/>
      <c r="R736" s="2"/>
      <c r="S736" s="1" t="str">
        <f t="shared" si="35"/>
        <v/>
      </c>
    </row>
    <row r="737" spans="1:19" x14ac:dyDescent="0.25">
      <c r="A737" s="2"/>
      <c r="F737" s="28"/>
      <c r="H737" s="1" t="str">
        <f t="shared" ca="1" si="33"/>
        <v/>
      </c>
      <c r="M737" s="2"/>
      <c r="N737" s="1" t="str">
        <f t="shared" si="34"/>
        <v/>
      </c>
      <c r="O737" s="2"/>
      <c r="P737" s="2"/>
      <c r="Q737" s="2"/>
      <c r="R737" s="2"/>
      <c r="S737" s="1" t="str">
        <f t="shared" si="35"/>
        <v/>
      </c>
    </row>
    <row r="738" spans="1:19" x14ac:dyDescent="0.25">
      <c r="A738" s="2"/>
      <c r="F738" s="28"/>
      <c r="H738" s="1" t="str">
        <f t="shared" ca="1" si="33"/>
        <v/>
      </c>
      <c r="M738" s="2"/>
      <c r="N738" s="1" t="str">
        <f t="shared" si="34"/>
        <v/>
      </c>
      <c r="O738" s="2"/>
      <c r="P738" s="2"/>
      <c r="Q738" s="2"/>
      <c r="R738" s="2"/>
      <c r="S738" s="1" t="str">
        <f t="shared" si="35"/>
        <v/>
      </c>
    </row>
    <row r="739" spans="1:19" x14ac:dyDescent="0.25">
      <c r="A739" s="2"/>
      <c r="F739" s="28"/>
      <c r="H739" s="1" t="str">
        <f t="shared" ca="1" si="33"/>
        <v/>
      </c>
      <c r="M739" s="2"/>
      <c r="N739" s="1" t="str">
        <f t="shared" si="34"/>
        <v/>
      </c>
      <c r="O739" s="2"/>
      <c r="P739" s="2"/>
      <c r="Q739" s="2"/>
      <c r="R739" s="2"/>
      <c r="S739" s="1" t="str">
        <f t="shared" si="35"/>
        <v/>
      </c>
    </row>
    <row r="740" spans="1:19" x14ac:dyDescent="0.25">
      <c r="A740" s="2"/>
      <c r="F740" s="28"/>
      <c r="H740" s="1" t="str">
        <f t="shared" ca="1" si="33"/>
        <v/>
      </c>
      <c r="M740" s="2"/>
      <c r="N740" s="1" t="str">
        <f t="shared" si="34"/>
        <v/>
      </c>
      <c r="O740" s="2"/>
      <c r="P740" s="2"/>
      <c r="Q740" s="2"/>
      <c r="R740" s="2"/>
      <c r="S740" s="1" t="str">
        <f t="shared" si="35"/>
        <v/>
      </c>
    </row>
    <row r="741" spans="1:19" x14ac:dyDescent="0.25">
      <c r="A741" s="2"/>
      <c r="F741" s="28"/>
      <c r="H741" s="1" t="str">
        <f t="shared" ca="1" si="33"/>
        <v/>
      </c>
      <c r="M741" s="2"/>
      <c r="N741" s="1" t="str">
        <f t="shared" si="34"/>
        <v/>
      </c>
      <c r="O741" s="2"/>
      <c r="P741" s="2"/>
      <c r="Q741" s="2"/>
      <c r="R741" s="2"/>
      <c r="S741" s="1" t="str">
        <f t="shared" si="35"/>
        <v/>
      </c>
    </row>
    <row r="742" spans="1:19" x14ac:dyDescent="0.25">
      <c r="A742" s="2"/>
      <c r="F742" s="28"/>
      <c r="H742" s="1" t="str">
        <f t="shared" ca="1" si="33"/>
        <v/>
      </c>
      <c r="M742" s="2"/>
      <c r="N742" s="1" t="str">
        <f t="shared" si="34"/>
        <v/>
      </c>
      <c r="O742" s="2"/>
      <c r="P742" s="2"/>
      <c r="Q742" s="2"/>
      <c r="R742" s="2"/>
      <c r="S742" s="1" t="str">
        <f t="shared" si="35"/>
        <v/>
      </c>
    </row>
    <row r="743" spans="1:19" x14ac:dyDescent="0.25">
      <c r="A743" s="2"/>
      <c r="F743" s="28"/>
      <c r="H743" s="1" t="str">
        <f t="shared" ca="1" si="33"/>
        <v/>
      </c>
      <c r="M743" s="2"/>
      <c r="N743" s="1" t="str">
        <f t="shared" si="34"/>
        <v/>
      </c>
      <c r="O743" s="2"/>
      <c r="P743" s="2"/>
      <c r="Q743" s="2"/>
      <c r="R743" s="2"/>
      <c r="S743" s="1" t="str">
        <f t="shared" si="35"/>
        <v/>
      </c>
    </row>
    <row r="744" spans="1:19" x14ac:dyDescent="0.25">
      <c r="A744" s="2"/>
      <c r="F744" s="28"/>
      <c r="H744" s="1" t="str">
        <f t="shared" ca="1" si="33"/>
        <v/>
      </c>
      <c r="M744" s="2"/>
      <c r="N744" s="1" t="str">
        <f t="shared" si="34"/>
        <v/>
      </c>
      <c r="O744" s="2"/>
      <c r="P744" s="2"/>
      <c r="Q744" s="2"/>
      <c r="R744" s="2"/>
      <c r="S744" s="1" t="str">
        <f t="shared" si="35"/>
        <v/>
      </c>
    </row>
    <row r="745" spans="1:19" x14ac:dyDescent="0.25">
      <c r="A745" s="2"/>
      <c r="F745" s="28"/>
      <c r="H745" s="1" t="str">
        <f t="shared" ca="1" si="33"/>
        <v/>
      </c>
      <c r="M745" s="2"/>
      <c r="N745" s="1" t="str">
        <f t="shared" si="34"/>
        <v/>
      </c>
      <c r="O745" s="2"/>
      <c r="P745" s="2"/>
      <c r="Q745" s="2"/>
      <c r="R745" s="2"/>
      <c r="S745" s="1" t="str">
        <f t="shared" si="35"/>
        <v/>
      </c>
    </row>
    <row r="746" spans="1:19" x14ac:dyDescent="0.25">
      <c r="A746" s="2"/>
      <c r="F746" s="28"/>
      <c r="H746" s="1" t="str">
        <f t="shared" ca="1" si="33"/>
        <v/>
      </c>
      <c r="M746" s="2"/>
      <c r="N746" s="1" t="str">
        <f t="shared" si="34"/>
        <v/>
      </c>
      <c r="O746" s="2"/>
      <c r="P746" s="2"/>
      <c r="Q746" s="2"/>
      <c r="R746" s="2"/>
      <c r="S746" s="1" t="str">
        <f t="shared" si="35"/>
        <v/>
      </c>
    </row>
    <row r="747" spans="1:19" x14ac:dyDescent="0.25">
      <c r="A747" s="2"/>
      <c r="F747" s="28"/>
      <c r="H747" s="1" t="str">
        <f t="shared" ca="1" si="33"/>
        <v/>
      </c>
      <c r="M747" s="2"/>
      <c r="N747" s="1" t="str">
        <f t="shared" si="34"/>
        <v/>
      </c>
      <c r="O747" s="2"/>
      <c r="P747" s="2"/>
      <c r="Q747" s="2"/>
      <c r="R747" s="2"/>
      <c r="S747" s="1" t="str">
        <f t="shared" si="35"/>
        <v/>
      </c>
    </row>
    <row r="748" spans="1:19" x14ac:dyDescent="0.25">
      <c r="A748" s="2"/>
      <c r="F748" s="28"/>
      <c r="H748" s="1" t="str">
        <f t="shared" ca="1" si="33"/>
        <v/>
      </c>
      <c r="M748" s="2"/>
      <c r="N748" s="1" t="str">
        <f t="shared" si="34"/>
        <v/>
      </c>
      <c r="O748" s="2"/>
      <c r="P748" s="2"/>
      <c r="Q748" s="2"/>
      <c r="R748" s="2"/>
      <c r="S748" s="1" t="str">
        <f t="shared" si="35"/>
        <v/>
      </c>
    </row>
    <row r="749" spans="1:19" x14ac:dyDescent="0.25">
      <c r="A749" s="2"/>
      <c r="F749" s="28"/>
      <c r="H749" s="1" t="str">
        <f t="shared" ca="1" si="33"/>
        <v/>
      </c>
      <c r="M749" s="2"/>
      <c r="N749" s="1" t="str">
        <f t="shared" si="34"/>
        <v/>
      </c>
      <c r="O749" s="2"/>
      <c r="P749" s="2"/>
      <c r="Q749" s="2"/>
      <c r="R749" s="2"/>
      <c r="S749" s="1" t="str">
        <f t="shared" si="35"/>
        <v/>
      </c>
    </row>
    <row r="750" spans="1:19" x14ac:dyDescent="0.25">
      <c r="A750" s="2"/>
      <c r="F750" s="28"/>
      <c r="H750" s="1" t="str">
        <f t="shared" ca="1" si="33"/>
        <v/>
      </c>
      <c r="M750" s="2"/>
      <c r="N750" s="1" t="str">
        <f t="shared" si="34"/>
        <v/>
      </c>
      <c r="O750" s="2"/>
      <c r="P750" s="2"/>
      <c r="Q750" s="2"/>
      <c r="R750" s="2"/>
      <c r="S750" s="1" t="str">
        <f t="shared" si="35"/>
        <v/>
      </c>
    </row>
    <row r="751" spans="1:19" x14ac:dyDescent="0.25">
      <c r="A751" s="2"/>
      <c r="F751" s="28"/>
      <c r="H751" s="1" t="str">
        <f t="shared" ca="1" si="33"/>
        <v/>
      </c>
      <c r="M751" s="2"/>
      <c r="N751" s="1" t="str">
        <f t="shared" si="34"/>
        <v/>
      </c>
      <c r="O751" s="2"/>
      <c r="P751" s="2"/>
      <c r="Q751" s="2"/>
      <c r="R751" s="2"/>
      <c r="S751" s="1" t="str">
        <f t="shared" si="35"/>
        <v/>
      </c>
    </row>
    <row r="752" spans="1:19" x14ac:dyDescent="0.25">
      <c r="A752" s="2"/>
      <c r="F752" s="28"/>
      <c r="H752" s="1" t="str">
        <f t="shared" ca="1" si="33"/>
        <v/>
      </c>
      <c r="M752" s="2"/>
      <c r="N752" s="1" t="str">
        <f t="shared" si="34"/>
        <v/>
      </c>
      <c r="O752" s="2"/>
      <c r="P752" s="2"/>
      <c r="Q752" s="2"/>
      <c r="R752" s="2"/>
      <c r="S752" s="1" t="str">
        <f t="shared" si="35"/>
        <v/>
      </c>
    </row>
    <row r="753" spans="1:19" x14ac:dyDescent="0.25">
      <c r="A753" s="2"/>
      <c r="F753" s="28"/>
      <c r="H753" s="1" t="str">
        <f t="shared" ca="1" si="33"/>
        <v/>
      </c>
      <c r="M753" s="2"/>
      <c r="N753" s="1" t="str">
        <f t="shared" si="34"/>
        <v/>
      </c>
      <c r="O753" s="2"/>
      <c r="P753" s="2"/>
      <c r="Q753" s="2"/>
      <c r="R753" s="2"/>
      <c r="S753" s="1" t="str">
        <f t="shared" si="35"/>
        <v/>
      </c>
    </row>
    <row r="754" spans="1:19" x14ac:dyDescent="0.25">
      <c r="A754" s="2"/>
      <c r="F754" s="28"/>
      <c r="H754" s="1" t="str">
        <f t="shared" ca="1" si="33"/>
        <v/>
      </c>
      <c r="M754" s="2"/>
      <c r="N754" s="1" t="str">
        <f t="shared" si="34"/>
        <v/>
      </c>
      <c r="O754" s="2"/>
      <c r="P754" s="2"/>
      <c r="Q754" s="2"/>
      <c r="R754" s="2"/>
      <c r="S754" s="1" t="str">
        <f t="shared" si="35"/>
        <v/>
      </c>
    </row>
    <row r="755" spans="1:19" x14ac:dyDescent="0.25">
      <c r="A755" s="2"/>
      <c r="F755" s="28"/>
      <c r="H755" s="1" t="str">
        <f t="shared" ca="1" si="33"/>
        <v/>
      </c>
      <c r="M755" s="2"/>
      <c r="N755" s="1" t="str">
        <f t="shared" si="34"/>
        <v/>
      </c>
      <c r="O755" s="2"/>
      <c r="P755" s="2"/>
      <c r="Q755" s="2"/>
      <c r="R755" s="2"/>
      <c r="S755" s="1" t="str">
        <f t="shared" si="35"/>
        <v/>
      </c>
    </row>
    <row r="756" spans="1:19" x14ac:dyDescent="0.25">
      <c r="A756" s="2"/>
      <c r="F756" s="28"/>
      <c r="H756" s="1" t="str">
        <f t="shared" ca="1" si="33"/>
        <v/>
      </c>
      <c r="M756" s="2"/>
      <c r="N756" s="1" t="str">
        <f t="shared" si="34"/>
        <v/>
      </c>
      <c r="O756" s="2"/>
      <c r="P756" s="2"/>
      <c r="Q756" s="2"/>
      <c r="R756" s="2"/>
      <c r="S756" s="1" t="str">
        <f t="shared" si="35"/>
        <v/>
      </c>
    </row>
    <row r="757" spans="1:19" x14ac:dyDescent="0.25">
      <c r="A757" s="2"/>
      <c r="F757" s="28"/>
      <c r="H757" s="1" t="str">
        <f t="shared" ca="1" si="33"/>
        <v/>
      </c>
      <c r="M757" s="2"/>
      <c r="N757" s="1" t="str">
        <f t="shared" si="34"/>
        <v/>
      </c>
      <c r="O757" s="2"/>
      <c r="P757" s="2"/>
      <c r="Q757" s="2"/>
      <c r="R757" s="2"/>
      <c r="S757" s="1" t="str">
        <f t="shared" si="35"/>
        <v/>
      </c>
    </row>
    <row r="758" spans="1:19" x14ac:dyDescent="0.25">
      <c r="A758" s="2"/>
      <c r="F758" s="28"/>
      <c r="H758" s="1" t="str">
        <f t="shared" ca="1" si="33"/>
        <v/>
      </c>
      <c r="M758" s="2"/>
      <c r="N758" s="1" t="str">
        <f t="shared" si="34"/>
        <v/>
      </c>
      <c r="O758" s="2"/>
      <c r="P758" s="2"/>
      <c r="Q758" s="2"/>
      <c r="R758" s="2"/>
      <c r="S758" s="1" t="str">
        <f t="shared" si="35"/>
        <v/>
      </c>
    </row>
    <row r="759" spans="1:19" x14ac:dyDescent="0.25">
      <c r="A759" s="2"/>
      <c r="F759" s="28"/>
      <c r="H759" s="1" t="str">
        <f t="shared" ca="1" si="33"/>
        <v/>
      </c>
      <c r="M759" s="2"/>
      <c r="N759" s="1" t="str">
        <f t="shared" si="34"/>
        <v/>
      </c>
      <c r="O759" s="2"/>
      <c r="P759" s="2"/>
      <c r="Q759" s="2"/>
      <c r="R759" s="2"/>
      <c r="S759" s="1" t="str">
        <f t="shared" si="35"/>
        <v/>
      </c>
    </row>
    <row r="760" spans="1:19" x14ac:dyDescent="0.25">
      <c r="A760" s="2"/>
      <c r="F760" s="28"/>
      <c r="H760" s="1" t="str">
        <f t="shared" ca="1" si="33"/>
        <v/>
      </c>
      <c r="M760" s="2"/>
      <c r="N760" s="1" t="str">
        <f t="shared" si="34"/>
        <v/>
      </c>
      <c r="O760" s="2"/>
      <c r="P760" s="2"/>
      <c r="Q760" s="2"/>
      <c r="R760" s="2"/>
      <c r="S760" s="1" t="str">
        <f t="shared" si="35"/>
        <v/>
      </c>
    </row>
    <row r="761" spans="1:19" x14ac:dyDescent="0.25">
      <c r="A761" s="2"/>
      <c r="F761" s="28"/>
      <c r="H761" s="1" t="str">
        <f t="shared" ca="1" si="33"/>
        <v/>
      </c>
      <c r="M761" s="2"/>
      <c r="N761" s="1" t="str">
        <f t="shared" si="34"/>
        <v/>
      </c>
      <c r="O761" s="2"/>
      <c r="P761" s="2"/>
      <c r="Q761" s="2"/>
      <c r="R761" s="2"/>
      <c r="S761" s="1" t="str">
        <f t="shared" si="35"/>
        <v/>
      </c>
    </row>
    <row r="762" spans="1:19" x14ac:dyDescent="0.25">
      <c r="A762" s="2"/>
      <c r="F762" s="28"/>
      <c r="H762" s="1" t="str">
        <f t="shared" ca="1" si="33"/>
        <v/>
      </c>
      <c r="M762" s="2"/>
      <c r="N762" s="1" t="str">
        <f t="shared" si="34"/>
        <v/>
      </c>
      <c r="O762" s="2"/>
      <c r="P762" s="2"/>
      <c r="Q762" s="2"/>
      <c r="R762" s="2"/>
      <c r="S762" s="1" t="str">
        <f t="shared" si="35"/>
        <v/>
      </c>
    </row>
    <row r="763" spans="1:19" x14ac:dyDescent="0.25">
      <c r="A763" s="2"/>
      <c r="F763" s="28"/>
      <c r="H763" s="1" t="str">
        <f t="shared" ca="1" si="33"/>
        <v/>
      </c>
      <c r="M763" s="2"/>
      <c r="N763" s="1" t="str">
        <f t="shared" si="34"/>
        <v/>
      </c>
      <c r="O763" s="2"/>
      <c r="P763" s="2"/>
      <c r="Q763" s="2"/>
      <c r="R763" s="2"/>
      <c r="S763" s="1" t="str">
        <f t="shared" si="35"/>
        <v/>
      </c>
    </row>
    <row r="764" spans="1:19" x14ac:dyDescent="0.25">
      <c r="A764" s="2"/>
      <c r="F764" s="28"/>
      <c r="H764" s="1" t="str">
        <f t="shared" ref="H764:H827" ca="1" si="36">IF(A764="","",IF(ISNUMBER(M764),M764-A764,TODAY()-A764))</f>
        <v/>
      </c>
      <c r="M764" s="2"/>
      <c r="N764" s="1" t="str">
        <f t="shared" ref="N764:N827" si="37">IF(M764="","",IF(ISNUMBER(M764),"Closed","Open"))</f>
        <v/>
      </c>
      <c r="O764" s="2"/>
      <c r="P764" s="2"/>
      <c r="Q764" s="2"/>
      <c r="R764" s="2"/>
      <c r="S764" s="1" t="str">
        <f t="shared" ref="S764:S827" si="38">IF(Q764="","",R764-Q764)</f>
        <v/>
      </c>
    </row>
    <row r="765" spans="1:19" x14ac:dyDescent="0.25">
      <c r="A765" s="2"/>
      <c r="F765" s="28"/>
      <c r="H765" s="1" t="str">
        <f t="shared" ca="1" si="36"/>
        <v/>
      </c>
      <c r="M765" s="2"/>
      <c r="N765" s="1" t="str">
        <f t="shared" si="37"/>
        <v/>
      </c>
      <c r="O765" s="2"/>
      <c r="P765" s="2"/>
      <c r="Q765" s="2"/>
      <c r="R765" s="2"/>
      <c r="S765" s="1" t="str">
        <f t="shared" si="38"/>
        <v/>
      </c>
    </row>
    <row r="766" spans="1:19" x14ac:dyDescent="0.25">
      <c r="A766" s="2"/>
      <c r="F766" s="28"/>
      <c r="H766" s="1" t="str">
        <f t="shared" ca="1" si="36"/>
        <v/>
      </c>
      <c r="M766" s="2"/>
      <c r="N766" s="1" t="str">
        <f t="shared" si="37"/>
        <v/>
      </c>
      <c r="O766" s="2"/>
      <c r="P766" s="2"/>
      <c r="Q766" s="2"/>
      <c r="R766" s="2"/>
      <c r="S766" s="1" t="str">
        <f t="shared" si="38"/>
        <v/>
      </c>
    </row>
    <row r="767" spans="1:19" x14ac:dyDescent="0.25">
      <c r="A767" s="2"/>
      <c r="F767" s="28"/>
      <c r="H767" s="1" t="str">
        <f t="shared" ca="1" si="36"/>
        <v/>
      </c>
      <c r="M767" s="2"/>
      <c r="N767" s="1" t="str">
        <f t="shared" si="37"/>
        <v/>
      </c>
      <c r="O767" s="2"/>
      <c r="P767" s="2"/>
      <c r="Q767" s="2"/>
      <c r="R767" s="2"/>
      <c r="S767" s="1" t="str">
        <f t="shared" si="38"/>
        <v/>
      </c>
    </row>
    <row r="768" spans="1:19" x14ac:dyDescent="0.25">
      <c r="A768" s="2"/>
      <c r="F768" s="28"/>
      <c r="H768" s="1" t="str">
        <f t="shared" ca="1" si="36"/>
        <v/>
      </c>
      <c r="M768" s="2"/>
      <c r="N768" s="1" t="str">
        <f t="shared" si="37"/>
        <v/>
      </c>
      <c r="O768" s="2"/>
      <c r="P768" s="2"/>
      <c r="Q768" s="2"/>
      <c r="R768" s="2"/>
      <c r="S768" s="1" t="str">
        <f t="shared" si="38"/>
        <v/>
      </c>
    </row>
    <row r="769" spans="1:19" x14ac:dyDescent="0.25">
      <c r="A769" s="2"/>
      <c r="F769" s="28"/>
      <c r="H769" s="1" t="str">
        <f t="shared" ca="1" si="36"/>
        <v/>
      </c>
      <c r="M769" s="2"/>
      <c r="N769" s="1" t="str">
        <f t="shared" si="37"/>
        <v/>
      </c>
      <c r="O769" s="2"/>
      <c r="P769" s="2"/>
      <c r="Q769" s="2"/>
      <c r="R769" s="2"/>
      <c r="S769" s="1" t="str">
        <f t="shared" si="38"/>
        <v/>
      </c>
    </row>
    <row r="770" spans="1:19" x14ac:dyDescent="0.25">
      <c r="A770" s="2"/>
      <c r="F770" s="28"/>
      <c r="H770" s="1" t="str">
        <f t="shared" ca="1" si="36"/>
        <v/>
      </c>
      <c r="M770" s="2"/>
      <c r="N770" s="1" t="str">
        <f t="shared" si="37"/>
        <v/>
      </c>
      <c r="O770" s="2"/>
      <c r="P770" s="2"/>
      <c r="Q770" s="2"/>
      <c r="R770" s="2"/>
      <c r="S770" s="1" t="str">
        <f t="shared" si="38"/>
        <v/>
      </c>
    </row>
    <row r="771" spans="1:19" x14ac:dyDescent="0.25">
      <c r="A771" s="2"/>
      <c r="F771" s="28"/>
      <c r="H771" s="1" t="str">
        <f t="shared" ca="1" si="36"/>
        <v/>
      </c>
      <c r="M771" s="2"/>
      <c r="N771" s="1" t="str">
        <f t="shared" si="37"/>
        <v/>
      </c>
      <c r="O771" s="2"/>
      <c r="P771" s="2"/>
      <c r="Q771" s="2"/>
      <c r="R771" s="2"/>
      <c r="S771" s="1" t="str">
        <f t="shared" si="38"/>
        <v/>
      </c>
    </row>
    <row r="772" spans="1:19" x14ac:dyDescent="0.25">
      <c r="A772" s="2"/>
      <c r="F772" s="28"/>
      <c r="H772" s="1" t="str">
        <f t="shared" ca="1" si="36"/>
        <v/>
      </c>
      <c r="M772" s="2"/>
      <c r="N772" s="1" t="str">
        <f t="shared" si="37"/>
        <v/>
      </c>
      <c r="O772" s="2"/>
      <c r="P772" s="2"/>
      <c r="Q772" s="2"/>
      <c r="R772" s="2"/>
      <c r="S772" s="1" t="str">
        <f t="shared" si="38"/>
        <v/>
      </c>
    </row>
    <row r="773" spans="1:19" x14ac:dyDescent="0.25">
      <c r="A773" s="2"/>
      <c r="F773" s="28"/>
      <c r="H773" s="1" t="str">
        <f t="shared" ca="1" si="36"/>
        <v/>
      </c>
      <c r="M773" s="2"/>
      <c r="N773" s="1" t="str">
        <f t="shared" si="37"/>
        <v/>
      </c>
      <c r="O773" s="2"/>
      <c r="P773" s="2"/>
      <c r="Q773" s="2"/>
      <c r="R773" s="2"/>
      <c r="S773" s="1" t="str">
        <f t="shared" si="38"/>
        <v/>
      </c>
    </row>
    <row r="774" spans="1:19" x14ac:dyDescent="0.25">
      <c r="A774" s="2"/>
      <c r="F774" s="28"/>
      <c r="H774" s="1" t="str">
        <f t="shared" ca="1" si="36"/>
        <v/>
      </c>
      <c r="M774" s="2"/>
      <c r="N774" s="1" t="str">
        <f t="shared" si="37"/>
        <v/>
      </c>
      <c r="O774" s="2"/>
      <c r="P774" s="2"/>
      <c r="Q774" s="2"/>
      <c r="R774" s="2"/>
      <c r="S774" s="1" t="str">
        <f t="shared" si="38"/>
        <v/>
      </c>
    </row>
    <row r="775" spans="1:19" x14ac:dyDescent="0.25">
      <c r="A775" s="2"/>
      <c r="F775" s="28"/>
      <c r="H775" s="1" t="str">
        <f t="shared" ca="1" si="36"/>
        <v/>
      </c>
      <c r="M775" s="2"/>
      <c r="N775" s="1" t="str">
        <f t="shared" si="37"/>
        <v/>
      </c>
      <c r="O775" s="2"/>
      <c r="P775" s="2"/>
      <c r="Q775" s="2"/>
      <c r="R775" s="2"/>
      <c r="S775" s="1" t="str">
        <f t="shared" si="38"/>
        <v/>
      </c>
    </row>
    <row r="776" spans="1:19" x14ac:dyDescent="0.25">
      <c r="A776" s="2"/>
      <c r="F776" s="28"/>
      <c r="H776" s="1" t="str">
        <f t="shared" ca="1" si="36"/>
        <v/>
      </c>
      <c r="M776" s="2"/>
      <c r="N776" s="1" t="str">
        <f t="shared" si="37"/>
        <v/>
      </c>
      <c r="O776" s="2"/>
      <c r="P776" s="2"/>
      <c r="Q776" s="2"/>
      <c r="R776" s="2"/>
      <c r="S776" s="1" t="str">
        <f t="shared" si="38"/>
        <v/>
      </c>
    </row>
    <row r="777" spans="1:19" x14ac:dyDescent="0.25">
      <c r="A777" s="2"/>
      <c r="F777" s="28"/>
      <c r="H777" s="1" t="str">
        <f t="shared" ca="1" si="36"/>
        <v/>
      </c>
      <c r="M777" s="2"/>
      <c r="N777" s="1" t="str">
        <f t="shared" si="37"/>
        <v/>
      </c>
      <c r="O777" s="2"/>
      <c r="P777" s="2"/>
      <c r="Q777" s="2"/>
      <c r="R777" s="2"/>
      <c r="S777" s="1" t="str">
        <f t="shared" si="38"/>
        <v/>
      </c>
    </row>
    <row r="778" spans="1:19" x14ac:dyDescent="0.25">
      <c r="A778" s="2"/>
      <c r="F778" s="28"/>
      <c r="H778" s="1" t="str">
        <f t="shared" ca="1" si="36"/>
        <v/>
      </c>
      <c r="M778" s="2"/>
      <c r="N778" s="1" t="str">
        <f t="shared" si="37"/>
        <v/>
      </c>
      <c r="O778" s="2"/>
      <c r="P778" s="2"/>
      <c r="Q778" s="2"/>
      <c r="R778" s="2"/>
      <c r="S778" s="1" t="str">
        <f t="shared" si="38"/>
        <v/>
      </c>
    </row>
    <row r="779" spans="1:19" x14ac:dyDescent="0.25">
      <c r="A779" s="2"/>
      <c r="F779" s="28"/>
      <c r="H779" s="1" t="str">
        <f t="shared" ca="1" si="36"/>
        <v/>
      </c>
      <c r="M779" s="2"/>
      <c r="N779" s="1" t="str">
        <f t="shared" si="37"/>
        <v/>
      </c>
      <c r="O779" s="2"/>
      <c r="P779" s="2"/>
      <c r="Q779" s="2"/>
      <c r="R779" s="2"/>
      <c r="S779" s="1" t="str">
        <f t="shared" si="38"/>
        <v/>
      </c>
    </row>
    <row r="780" spans="1:19" x14ac:dyDescent="0.25">
      <c r="A780" s="2"/>
      <c r="F780" s="28"/>
      <c r="H780" s="1" t="str">
        <f t="shared" ca="1" si="36"/>
        <v/>
      </c>
      <c r="M780" s="2"/>
      <c r="N780" s="1" t="str">
        <f t="shared" si="37"/>
        <v/>
      </c>
      <c r="O780" s="2"/>
      <c r="P780" s="2"/>
      <c r="Q780" s="2"/>
      <c r="R780" s="2"/>
      <c r="S780" s="1" t="str">
        <f t="shared" si="38"/>
        <v/>
      </c>
    </row>
    <row r="781" spans="1:19" x14ac:dyDescent="0.25">
      <c r="A781" s="2"/>
      <c r="F781" s="28"/>
      <c r="H781" s="1" t="str">
        <f t="shared" ca="1" si="36"/>
        <v/>
      </c>
      <c r="M781" s="2"/>
      <c r="N781" s="1" t="str">
        <f t="shared" si="37"/>
        <v/>
      </c>
      <c r="O781" s="2"/>
      <c r="P781" s="2"/>
      <c r="Q781" s="2"/>
      <c r="R781" s="2"/>
      <c r="S781" s="1" t="str">
        <f t="shared" si="38"/>
        <v/>
      </c>
    </row>
    <row r="782" spans="1:19" x14ac:dyDescent="0.25">
      <c r="A782" s="2"/>
      <c r="F782" s="28"/>
      <c r="H782" s="1" t="str">
        <f t="shared" ca="1" si="36"/>
        <v/>
      </c>
      <c r="M782" s="2"/>
      <c r="N782" s="1" t="str">
        <f t="shared" si="37"/>
        <v/>
      </c>
      <c r="O782" s="2"/>
      <c r="P782" s="2"/>
      <c r="Q782" s="2"/>
      <c r="R782" s="2"/>
      <c r="S782" s="1" t="str">
        <f t="shared" si="38"/>
        <v/>
      </c>
    </row>
    <row r="783" spans="1:19" x14ac:dyDescent="0.25">
      <c r="A783" s="2"/>
      <c r="F783" s="28"/>
      <c r="H783" s="1" t="str">
        <f t="shared" ca="1" si="36"/>
        <v/>
      </c>
      <c r="M783" s="2"/>
      <c r="N783" s="1" t="str">
        <f t="shared" si="37"/>
        <v/>
      </c>
      <c r="O783" s="2"/>
      <c r="P783" s="2"/>
      <c r="Q783" s="2"/>
      <c r="R783" s="2"/>
      <c r="S783" s="1" t="str">
        <f t="shared" si="38"/>
        <v/>
      </c>
    </row>
    <row r="784" spans="1:19" x14ac:dyDescent="0.25">
      <c r="A784" s="2"/>
      <c r="F784" s="28"/>
      <c r="H784" s="1" t="str">
        <f t="shared" ca="1" si="36"/>
        <v/>
      </c>
      <c r="M784" s="2"/>
      <c r="N784" s="1" t="str">
        <f t="shared" si="37"/>
        <v/>
      </c>
      <c r="O784" s="2"/>
      <c r="P784" s="2"/>
      <c r="Q784" s="2"/>
      <c r="R784" s="2"/>
      <c r="S784" s="1" t="str">
        <f t="shared" si="38"/>
        <v/>
      </c>
    </row>
    <row r="785" spans="1:19" x14ac:dyDescent="0.25">
      <c r="A785" s="2"/>
      <c r="F785" s="28"/>
      <c r="H785" s="1" t="str">
        <f t="shared" ca="1" si="36"/>
        <v/>
      </c>
      <c r="M785" s="2"/>
      <c r="N785" s="1" t="str">
        <f t="shared" si="37"/>
        <v/>
      </c>
      <c r="O785" s="2"/>
      <c r="P785" s="2"/>
      <c r="Q785" s="2"/>
      <c r="R785" s="2"/>
      <c r="S785" s="1" t="str">
        <f t="shared" si="38"/>
        <v/>
      </c>
    </row>
    <row r="786" spans="1:19" x14ac:dyDescent="0.25">
      <c r="A786" s="2"/>
      <c r="F786" s="28"/>
      <c r="H786" s="1" t="str">
        <f t="shared" ca="1" si="36"/>
        <v/>
      </c>
      <c r="M786" s="2"/>
      <c r="N786" s="1" t="str">
        <f t="shared" si="37"/>
        <v/>
      </c>
      <c r="O786" s="2"/>
      <c r="P786" s="2"/>
      <c r="Q786" s="2"/>
      <c r="R786" s="2"/>
      <c r="S786" s="1" t="str">
        <f t="shared" si="38"/>
        <v/>
      </c>
    </row>
    <row r="787" spans="1:19" x14ac:dyDescent="0.25">
      <c r="A787" s="2"/>
      <c r="F787" s="28"/>
      <c r="H787" s="1" t="str">
        <f t="shared" ca="1" si="36"/>
        <v/>
      </c>
      <c r="M787" s="2"/>
      <c r="N787" s="1" t="str">
        <f t="shared" si="37"/>
        <v/>
      </c>
      <c r="O787" s="2"/>
      <c r="P787" s="2"/>
      <c r="Q787" s="2"/>
      <c r="R787" s="2"/>
      <c r="S787" s="1" t="str">
        <f t="shared" si="38"/>
        <v/>
      </c>
    </row>
    <row r="788" spans="1:19" x14ac:dyDescent="0.25">
      <c r="A788" s="2"/>
      <c r="F788" s="28"/>
      <c r="H788" s="1" t="str">
        <f t="shared" ca="1" si="36"/>
        <v/>
      </c>
      <c r="M788" s="2"/>
      <c r="N788" s="1" t="str">
        <f t="shared" si="37"/>
        <v/>
      </c>
      <c r="O788" s="2"/>
      <c r="P788" s="2"/>
      <c r="Q788" s="2"/>
      <c r="R788" s="2"/>
      <c r="S788" s="1" t="str">
        <f t="shared" si="38"/>
        <v/>
      </c>
    </row>
    <row r="789" spans="1:19" x14ac:dyDescent="0.25">
      <c r="A789" s="2"/>
      <c r="F789" s="28"/>
      <c r="H789" s="1" t="str">
        <f t="shared" ca="1" si="36"/>
        <v/>
      </c>
      <c r="M789" s="2"/>
      <c r="N789" s="1" t="str">
        <f t="shared" si="37"/>
        <v/>
      </c>
      <c r="O789" s="2"/>
      <c r="P789" s="2"/>
      <c r="Q789" s="2"/>
      <c r="R789" s="2"/>
      <c r="S789" s="1" t="str">
        <f t="shared" si="38"/>
        <v/>
      </c>
    </row>
    <row r="790" spans="1:19" x14ac:dyDescent="0.25">
      <c r="A790" s="2"/>
      <c r="F790" s="28"/>
      <c r="H790" s="1" t="str">
        <f t="shared" ca="1" si="36"/>
        <v/>
      </c>
      <c r="M790" s="2"/>
      <c r="N790" s="1" t="str">
        <f t="shared" si="37"/>
        <v/>
      </c>
      <c r="O790" s="2"/>
      <c r="P790" s="2"/>
      <c r="Q790" s="2"/>
      <c r="R790" s="2"/>
      <c r="S790" s="1" t="str">
        <f t="shared" si="38"/>
        <v/>
      </c>
    </row>
    <row r="791" spans="1:19" x14ac:dyDescent="0.25">
      <c r="A791" s="2"/>
      <c r="F791" s="28"/>
      <c r="H791" s="1" t="str">
        <f t="shared" ca="1" si="36"/>
        <v/>
      </c>
      <c r="M791" s="2"/>
      <c r="N791" s="1" t="str">
        <f t="shared" si="37"/>
        <v/>
      </c>
      <c r="O791" s="2"/>
      <c r="P791" s="2"/>
      <c r="Q791" s="2"/>
      <c r="R791" s="2"/>
      <c r="S791" s="1" t="str">
        <f t="shared" si="38"/>
        <v/>
      </c>
    </row>
    <row r="792" spans="1:19" x14ac:dyDescent="0.25">
      <c r="A792" s="2"/>
      <c r="F792" s="28"/>
      <c r="H792" s="1" t="str">
        <f t="shared" ca="1" si="36"/>
        <v/>
      </c>
      <c r="M792" s="2"/>
      <c r="N792" s="1" t="str">
        <f t="shared" si="37"/>
        <v/>
      </c>
      <c r="O792" s="2"/>
      <c r="P792" s="2"/>
      <c r="Q792" s="2"/>
      <c r="R792" s="2"/>
      <c r="S792" s="1" t="str">
        <f t="shared" si="38"/>
        <v/>
      </c>
    </row>
    <row r="793" spans="1:19" x14ac:dyDescent="0.25">
      <c r="A793" s="2"/>
      <c r="F793" s="28"/>
      <c r="H793" s="1" t="str">
        <f t="shared" ca="1" si="36"/>
        <v/>
      </c>
      <c r="M793" s="2"/>
      <c r="N793" s="1" t="str">
        <f t="shared" si="37"/>
        <v/>
      </c>
      <c r="O793" s="2"/>
      <c r="P793" s="2"/>
      <c r="Q793" s="2"/>
      <c r="R793" s="2"/>
      <c r="S793" s="1" t="str">
        <f t="shared" si="38"/>
        <v/>
      </c>
    </row>
    <row r="794" spans="1:19" x14ac:dyDescent="0.25">
      <c r="A794" s="2"/>
      <c r="F794" s="28"/>
      <c r="H794" s="1" t="str">
        <f t="shared" ca="1" si="36"/>
        <v/>
      </c>
      <c r="M794" s="2"/>
      <c r="N794" s="1" t="str">
        <f t="shared" si="37"/>
        <v/>
      </c>
      <c r="O794" s="2"/>
      <c r="P794" s="2"/>
      <c r="Q794" s="2"/>
      <c r="R794" s="2"/>
      <c r="S794" s="1" t="str">
        <f t="shared" si="38"/>
        <v/>
      </c>
    </row>
    <row r="795" spans="1:19" x14ac:dyDescent="0.25">
      <c r="A795" s="2"/>
      <c r="F795" s="28"/>
      <c r="H795" s="1" t="str">
        <f t="shared" ca="1" si="36"/>
        <v/>
      </c>
      <c r="M795" s="2"/>
      <c r="N795" s="1" t="str">
        <f t="shared" si="37"/>
        <v/>
      </c>
      <c r="O795" s="2"/>
      <c r="P795" s="2"/>
      <c r="Q795" s="2"/>
      <c r="R795" s="2"/>
      <c r="S795" s="1" t="str">
        <f t="shared" si="38"/>
        <v/>
      </c>
    </row>
    <row r="796" spans="1:19" x14ac:dyDescent="0.25">
      <c r="A796" s="2"/>
      <c r="F796" s="28"/>
      <c r="H796" s="1" t="str">
        <f t="shared" ca="1" si="36"/>
        <v/>
      </c>
      <c r="M796" s="2"/>
      <c r="N796" s="1" t="str">
        <f t="shared" si="37"/>
        <v/>
      </c>
      <c r="O796" s="2"/>
      <c r="P796" s="2"/>
      <c r="Q796" s="2"/>
      <c r="R796" s="2"/>
      <c r="S796" s="1" t="str">
        <f t="shared" si="38"/>
        <v/>
      </c>
    </row>
    <row r="797" spans="1:19" x14ac:dyDescent="0.25">
      <c r="A797" s="2"/>
      <c r="F797" s="28"/>
      <c r="H797" s="1" t="str">
        <f t="shared" ca="1" si="36"/>
        <v/>
      </c>
      <c r="M797" s="2"/>
      <c r="N797" s="1" t="str">
        <f t="shared" si="37"/>
        <v/>
      </c>
      <c r="O797" s="2"/>
      <c r="P797" s="2"/>
      <c r="Q797" s="2"/>
      <c r="R797" s="2"/>
      <c r="S797" s="1" t="str">
        <f t="shared" si="38"/>
        <v/>
      </c>
    </row>
    <row r="798" spans="1:19" x14ac:dyDescent="0.25">
      <c r="A798" s="2"/>
      <c r="F798" s="28"/>
      <c r="H798" s="1" t="str">
        <f t="shared" ca="1" si="36"/>
        <v/>
      </c>
      <c r="M798" s="2"/>
      <c r="N798" s="1" t="str">
        <f t="shared" si="37"/>
        <v/>
      </c>
      <c r="O798" s="2"/>
      <c r="P798" s="2"/>
      <c r="Q798" s="2"/>
      <c r="R798" s="2"/>
      <c r="S798" s="1" t="str">
        <f t="shared" si="38"/>
        <v/>
      </c>
    </row>
    <row r="799" spans="1:19" x14ac:dyDescent="0.25">
      <c r="A799" s="2"/>
      <c r="F799" s="28"/>
      <c r="H799" s="1" t="str">
        <f t="shared" ca="1" si="36"/>
        <v/>
      </c>
      <c r="M799" s="2"/>
      <c r="N799" s="1" t="str">
        <f t="shared" si="37"/>
        <v/>
      </c>
      <c r="O799" s="2"/>
      <c r="P799" s="2"/>
      <c r="Q799" s="2"/>
      <c r="R799" s="2"/>
      <c r="S799" s="1" t="str">
        <f t="shared" si="38"/>
        <v/>
      </c>
    </row>
    <row r="800" spans="1:19" x14ac:dyDescent="0.25">
      <c r="A800" s="2"/>
      <c r="F800" s="28"/>
      <c r="H800" s="1" t="str">
        <f t="shared" ca="1" si="36"/>
        <v/>
      </c>
      <c r="M800" s="2"/>
      <c r="N800" s="1" t="str">
        <f t="shared" si="37"/>
        <v/>
      </c>
      <c r="O800" s="2"/>
      <c r="P800" s="2"/>
      <c r="Q800" s="2"/>
      <c r="R800" s="2"/>
      <c r="S800" s="1" t="str">
        <f t="shared" si="38"/>
        <v/>
      </c>
    </row>
    <row r="801" spans="1:19" x14ac:dyDescent="0.25">
      <c r="A801" s="2"/>
      <c r="F801" s="28"/>
      <c r="H801" s="1" t="str">
        <f t="shared" ca="1" si="36"/>
        <v/>
      </c>
      <c r="M801" s="2"/>
      <c r="N801" s="1" t="str">
        <f t="shared" si="37"/>
        <v/>
      </c>
      <c r="O801" s="2"/>
      <c r="P801" s="2"/>
      <c r="Q801" s="2"/>
      <c r="R801" s="2"/>
      <c r="S801" s="1" t="str">
        <f t="shared" si="38"/>
        <v/>
      </c>
    </row>
    <row r="802" spans="1:19" x14ac:dyDescent="0.25">
      <c r="A802" s="2"/>
      <c r="F802" s="28"/>
      <c r="H802" s="1" t="str">
        <f t="shared" ca="1" si="36"/>
        <v/>
      </c>
      <c r="M802" s="2"/>
      <c r="N802" s="1" t="str">
        <f t="shared" si="37"/>
        <v/>
      </c>
      <c r="O802" s="2"/>
      <c r="P802" s="2"/>
      <c r="Q802" s="2"/>
      <c r="R802" s="2"/>
      <c r="S802" s="1" t="str">
        <f t="shared" si="38"/>
        <v/>
      </c>
    </row>
    <row r="803" spans="1:19" x14ac:dyDescent="0.25">
      <c r="A803" s="2"/>
      <c r="F803" s="28"/>
      <c r="H803" s="1" t="str">
        <f t="shared" ca="1" si="36"/>
        <v/>
      </c>
      <c r="M803" s="2"/>
      <c r="N803" s="1" t="str">
        <f t="shared" si="37"/>
        <v/>
      </c>
      <c r="O803" s="2"/>
      <c r="P803" s="2"/>
      <c r="Q803" s="2"/>
      <c r="R803" s="2"/>
      <c r="S803" s="1" t="str">
        <f t="shared" si="38"/>
        <v/>
      </c>
    </row>
    <row r="804" spans="1:19" x14ac:dyDescent="0.25">
      <c r="A804" s="2"/>
      <c r="F804" s="28"/>
      <c r="H804" s="1" t="str">
        <f t="shared" ca="1" si="36"/>
        <v/>
      </c>
      <c r="M804" s="2"/>
      <c r="N804" s="1" t="str">
        <f t="shared" si="37"/>
        <v/>
      </c>
      <c r="O804" s="2"/>
      <c r="P804" s="2"/>
      <c r="Q804" s="2"/>
      <c r="R804" s="2"/>
      <c r="S804" s="1" t="str">
        <f t="shared" si="38"/>
        <v/>
      </c>
    </row>
    <row r="805" spans="1:19" x14ac:dyDescent="0.25">
      <c r="A805" s="2"/>
      <c r="F805" s="28"/>
      <c r="H805" s="1" t="str">
        <f t="shared" ca="1" si="36"/>
        <v/>
      </c>
      <c r="M805" s="2"/>
      <c r="N805" s="1" t="str">
        <f t="shared" si="37"/>
        <v/>
      </c>
      <c r="O805" s="2"/>
      <c r="P805" s="2"/>
      <c r="Q805" s="2"/>
      <c r="R805" s="2"/>
      <c r="S805" s="1" t="str">
        <f t="shared" si="38"/>
        <v/>
      </c>
    </row>
    <row r="806" spans="1:19" x14ac:dyDescent="0.25">
      <c r="A806" s="2"/>
      <c r="F806" s="28"/>
      <c r="H806" s="1" t="str">
        <f t="shared" ca="1" si="36"/>
        <v/>
      </c>
      <c r="M806" s="2"/>
      <c r="N806" s="1" t="str">
        <f t="shared" si="37"/>
        <v/>
      </c>
      <c r="O806" s="2"/>
      <c r="P806" s="2"/>
      <c r="Q806" s="2"/>
      <c r="R806" s="2"/>
      <c r="S806" s="1" t="str">
        <f t="shared" si="38"/>
        <v/>
      </c>
    </row>
    <row r="807" spans="1:19" x14ac:dyDescent="0.25">
      <c r="A807" s="2"/>
      <c r="F807" s="28"/>
      <c r="H807" s="1" t="str">
        <f t="shared" ca="1" si="36"/>
        <v/>
      </c>
      <c r="M807" s="2"/>
      <c r="N807" s="1" t="str">
        <f t="shared" si="37"/>
        <v/>
      </c>
      <c r="O807" s="2"/>
      <c r="P807" s="2"/>
      <c r="Q807" s="2"/>
      <c r="R807" s="2"/>
      <c r="S807" s="1" t="str">
        <f t="shared" si="38"/>
        <v/>
      </c>
    </row>
    <row r="808" spans="1:19" x14ac:dyDescent="0.25">
      <c r="A808" s="2"/>
      <c r="F808" s="28"/>
      <c r="H808" s="1" t="str">
        <f t="shared" ca="1" si="36"/>
        <v/>
      </c>
      <c r="M808" s="2"/>
      <c r="N808" s="1" t="str">
        <f t="shared" si="37"/>
        <v/>
      </c>
      <c r="O808" s="2"/>
      <c r="P808" s="2"/>
      <c r="Q808" s="2"/>
      <c r="R808" s="2"/>
      <c r="S808" s="1" t="str">
        <f t="shared" si="38"/>
        <v/>
      </c>
    </row>
    <row r="809" spans="1:19" x14ac:dyDescent="0.25">
      <c r="A809" s="2"/>
      <c r="F809" s="28"/>
      <c r="H809" s="1" t="str">
        <f t="shared" ca="1" si="36"/>
        <v/>
      </c>
      <c r="M809" s="2"/>
      <c r="N809" s="1" t="str">
        <f t="shared" si="37"/>
        <v/>
      </c>
      <c r="O809" s="2"/>
      <c r="P809" s="2"/>
      <c r="Q809" s="2"/>
      <c r="R809" s="2"/>
      <c r="S809" s="1" t="str">
        <f t="shared" si="38"/>
        <v/>
      </c>
    </row>
    <row r="810" spans="1:19" x14ac:dyDescent="0.25">
      <c r="A810" s="2"/>
      <c r="F810" s="28"/>
      <c r="H810" s="1" t="str">
        <f t="shared" ca="1" si="36"/>
        <v/>
      </c>
      <c r="M810" s="2"/>
      <c r="N810" s="1" t="str">
        <f t="shared" si="37"/>
        <v/>
      </c>
      <c r="O810" s="2"/>
      <c r="P810" s="2"/>
      <c r="Q810" s="2"/>
      <c r="R810" s="2"/>
      <c r="S810" s="1" t="str">
        <f t="shared" si="38"/>
        <v/>
      </c>
    </row>
    <row r="811" spans="1:19" x14ac:dyDescent="0.25">
      <c r="A811" s="2"/>
      <c r="F811" s="28"/>
      <c r="H811" s="1" t="str">
        <f t="shared" ca="1" si="36"/>
        <v/>
      </c>
      <c r="M811" s="2"/>
      <c r="N811" s="1" t="str">
        <f t="shared" si="37"/>
        <v/>
      </c>
      <c r="O811" s="2"/>
      <c r="P811" s="2"/>
      <c r="Q811" s="2"/>
      <c r="R811" s="2"/>
      <c r="S811" s="1" t="str">
        <f t="shared" si="38"/>
        <v/>
      </c>
    </row>
    <row r="812" spans="1:19" x14ac:dyDescent="0.25">
      <c r="A812" s="2"/>
      <c r="F812" s="28"/>
      <c r="H812" s="1" t="str">
        <f t="shared" ca="1" si="36"/>
        <v/>
      </c>
      <c r="M812" s="2"/>
      <c r="N812" s="1" t="str">
        <f t="shared" si="37"/>
        <v/>
      </c>
      <c r="O812" s="2"/>
      <c r="P812" s="2"/>
      <c r="Q812" s="2"/>
      <c r="R812" s="2"/>
      <c r="S812" s="1" t="str">
        <f t="shared" si="38"/>
        <v/>
      </c>
    </row>
    <row r="813" spans="1:19" x14ac:dyDescent="0.25">
      <c r="A813" s="2"/>
      <c r="F813" s="28"/>
      <c r="H813" s="1" t="str">
        <f t="shared" ca="1" si="36"/>
        <v/>
      </c>
      <c r="M813" s="2"/>
      <c r="N813" s="1" t="str">
        <f t="shared" si="37"/>
        <v/>
      </c>
      <c r="O813" s="2"/>
      <c r="P813" s="2"/>
      <c r="Q813" s="2"/>
      <c r="R813" s="2"/>
      <c r="S813" s="1" t="str">
        <f t="shared" si="38"/>
        <v/>
      </c>
    </row>
    <row r="814" spans="1:19" x14ac:dyDescent="0.25">
      <c r="A814" s="2"/>
      <c r="F814" s="28"/>
      <c r="H814" s="1" t="str">
        <f t="shared" ca="1" si="36"/>
        <v/>
      </c>
      <c r="M814" s="2"/>
      <c r="N814" s="1" t="str">
        <f t="shared" si="37"/>
        <v/>
      </c>
      <c r="O814" s="2"/>
      <c r="P814" s="2"/>
      <c r="Q814" s="2"/>
      <c r="R814" s="2"/>
      <c r="S814" s="1" t="str">
        <f t="shared" si="38"/>
        <v/>
      </c>
    </row>
    <row r="815" spans="1:19" x14ac:dyDescent="0.25">
      <c r="A815" s="2"/>
      <c r="F815" s="28"/>
      <c r="H815" s="1" t="str">
        <f t="shared" ca="1" si="36"/>
        <v/>
      </c>
      <c r="M815" s="2"/>
      <c r="N815" s="1" t="str">
        <f t="shared" si="37"/>
        <v/>
      </c>
      <c r="O815" s="2"/>
      <c r="P815" s="2"/>
      <c r="Q815" s="2"/>
      <c r="R815" s="2"/>
      <c r="S815" s="1" t="str">
        <f t="shared" si="38"/>
        <v/>
      </c>
    </row>
    <row r="816" spans="1:19" x14ac:dyDescent="0.25">
      <c r="A816" s="2"/>
      <c r="F816" s="28"/>
      <c r="H816" s="1" t="str">
        <f t="shared" ca="1" si="36"/>
        <v/>
      </c>
      <c r="M816" s="2"/>
      <c r="N816" s="1" t="str">
        <f t="shared" si="37"/>
        <v/>
      </c>
      <c r="O816" s="2"/>
      <c r="P816" s="2"/>
      <c r="Q816" s="2"/>
      <c r="R816" s="2"/>
      <c r="S816" s="1" t="str">
        <f t="shared" si="38"/>
        <v/>
      </c>
    </row>
    <row r="817" spans="1:19" x14ac:dyDescent="0.25">
      <c r="A817" s="2"/>
      <c r="F817" s="28"/>
      <c r="H817" s="1" t="str">
        <f t="shared" ca="1" si="36"/>
        <v/>
      </c>
      <c r="M817" s="2"/>
      <c r="N817" s="1" t="str">
        <f t="shared" si="37"/>
        <v/>
      </c>
      <c r="O817" s="2"/>
      <c r="P817" s="2"/>
      <c r="Q817" s="2"/>
      <c r="R817" s="2"/>
      <c r="S817" s="1" t="str">
        <f t="shared" si="38"/>
        <v/>
      </c>
    </row>
    <row r="818" spans="1:19" x14ac:dyDescent="0.25">
      <c r="A818" s="2"/>
      <c r="F818" s="28"/>
      <c r="H818" s="1" t="str">
        <f t="shared" ca="1" si="36"/>
        <v/>
      </c>
      <c r="M818" s="2"/>
      <c r="N818" s="1" t="str">
        <f t="shared" si="37"/>
        <v/>
      </c>
      <c r="O818" s="2"/>
      <c r="P818" s="2"/>
      <c r="Q818" s="2"/>
      <c r="R818" s="2"/>
      <c r="S818" s="1" t="str">
        <f t="shared" si="38"/>
        <v/>
      </c>
    </row>
    <row r="819" spans="1:19" x14ac:dyDescent="0.25">
      <c r="A819" s="2"/>
      <c r="F819" s="28"/>
      <c r="H819" s="1" t="str">
        <f t="shared" ca="1" si="36"/>
        <v/>
      </c>
      <c r="M819" s="2"/>
      <c r="N819" s="1" t="str">
        <f t="shared" si="37"/>
        <v/>
      </c>
      <c r="O819" s="2"/>
      <c r="P819" s="2"/>
      <c r="Q819" s="2"/>
      <c r="R819" s="2"/>
      <c r="S819" s="1" t="str">
        <f t="shared" si="38"/>
        <v/>
      </c>
    </row>
    <row r="820" spans="1:19" x14ac:dyDescent="0.25">
      <c r="A820" s="2"/>
      <c r="F820" s="28"/>
      <c r="H820" s="1" t="str">
        <f t="shared" ca="1" si="36"/>
        <v/>
      </c>
      <c r="M820" s="2"/>
      <c r="N820" s="1" t="str">
        <f t="shared" si="37"/>
        <v/>
      </c>
      <c r="O820" s="2"/>
      <c r="P820" s="2"/>
      <c r="Q820" s="2"/>
      <c r="R820" s="2"/>
      <c r="S820" s="1" t="str">
        <f t="shared" si="38"/>
        <v/>
      </c>
    </row>
    <row r="821" spans="1:19" x14ac:dyDescent="0.25">
      <c r="A821" s="2"/>
      <c r="F821" s="28"/>
      <c r="H821" s="1" t="str">
        <f t="shared" ca="1" si="36"/>
        <v/>
      </c>
      <c r="M821" s="2"/>
      <c r="N821" s="1" t="str">
        <f t="shared" si="37"/>
        <v/>
      </c>
      <c r="O821" s="2"/>
      <c r="P821" s="2"/>
      <c r="Q821" s="2"/>
      <c r="R821" s="2"/>
      <c r="S821" s="1" t="str">
        <f t="shared" si="38"/>
        <v/>
      </c>
    </row>
    <row r="822" spans="1:19" x14ac:dyDescent="0.25">
      <c r="A822" s="2"/>
      <c r="F822" s="28"/>
      <c r="H822" s="1" t="str">
        <f t="shared" ca="1" si="36"/>
        <v/>
      </c>
      <c r="M822" s="2"/>
      <c r="N822" s="1" t="str">
        <f t="shared" si="37"/>
        <v/>
      </c>
      <c r="O822" s="2"/>
      <c r="P822" s="2"/>
      <c r="Q822" s="2"/>
      <c r="R822" s="2"/>
      <c r="S822" s="1" t="str">
        <f t="shared" si="38"/>
        <v/>
      </c>
    </row>
    <row r="823" spans="1:19" x14ac:dyDescent="0.25">
      <c r="A823" s="2"/>
      <c r="F823" s="28"/>
      <c r="H823" s="1" t="str">
        <f t="shared" ca="1" si="36"/>
        <v/>
      </c>
      <c r="M823" s="2"/>
      <c r="N823" s="1" t="str">
        <f t="shared" si="37"/>
        <v/>
      </c>
      <c r="O823" s="2"/>
      <c r="P823" s="2"/>
      <c r="Q823" s="2"/>
      <c r="R823" s="2"/>
      <c r="S823" s="1" t="str">
        <f t="shared" si="38"/>
        <v/>
      </c>
    </row>
    <row r="824" spans="1:19" x14ac:dyDescent="0.25">
      <c r="A824" s="2"/>
      <c r="F824" s="28"/>
      <c r="H824" s="1" t="str">
        <f t="shared" ca="1" si="36"/>
        <v/>
      </c>
      <c r="M824" s="2"/>
      <c r="N824" s="1" t="str">
        <f t="shared" si="37"/>
        <v/>
      </c>
      <c r="O824" s="2"/>
      <c r="P824" s="2"/>
      <c r="Q824" s="2"/>
      <c r="R824" s="2"/>
      <c r="S824" s="1" t="str">
        <f t="shared" si="38"/>
        <v/>
      </c>
    </row>
    <row r="825" spans="1:19" x14ac:dyDescent="0.25">
      <c r="A825" s="2"/>
      <c r="F825" s="28"/>
      <c r="H825" s="1" t="str">
        <f t="shared" ca="1" si="36"/>
        <v/>
      </c>
      <c r="M825" s="2"/>
      <c r="N825" s="1" t="str">
        <f t="shared" si="37"/>
        <v/>
      </c>
      <c r="O825" s="2"/>
      <c r="P825" s="2"/>
      <c r="Q825" s="2"/>
      <c r="R825" s="2"/>
      <c r="S825" s="1" t="str">
        <f t="shared" si="38"/>
        <v/>
      </c>
    </row>
    <row r="826" spans="1:19" x14ac:dyDescent="0.25">
      <c r="A826" s="2"/>
      <c r="F826" s="28"/>
      <c r="H826" s="1" t="str">
        <f t="shared" ca="1" si="36"/>
        <v/>
      </c>
      <c r="M826" s="2"/>
      <c r="N826" s="1" t="str">
        <f t="shared" si="37"/>
        <v/>
      </c>
      <c r="O826" s="2"/>
      <c r="P826" s="2"/>
      <c r="Q826" s="2"/>
      <c r="R826" s="2"/>
      <c r="S826" s="1" t="str">
        <f t="shared" si="38"/>
        <v/>
      </c>
    </row>
    <row r="827" spans="1:19" x14ac:dyDescent="0.25">
      <c r="A827" s="2"/>
      <c r="F827" s="28"/>
      <c r="H827" s="1" t="str">
        <f t="shared" ca="1" si="36"/>
        <v/>
      </c>
      <c r="M827" s="2"/>
      <c r="N827" s="1" t="str">
        <f t="shared" si="37"/>
        <v/>
      </c>
      <c r="O827" s="2"/>
      <c r="P827" s="2"/>
      <c r="Q827" s="2"/>
      <c r="R827" s="2"/>
      <c r="S827" s="1" t="str">
        <f t="shared" si="38"/>
        <v/>
      </c>
    </row>
    <row r="828" spans="1:19" x14ac:dyDescent="0.25">
      <c r="A828" s="2"/>
      <c r="F828" s="28"/>
      <c r="H828" s="1" t="str">
        <f t="shared" ref="H828:H891" ca="1" si="39">IF(A828="","",IF(ISNUMBER(M828),M828-A828,TODAY()-A828))</f>
        <v/>
      </c>
      <c r="M828" s="2"/>
      <c r="N828" s="1" t="str">
        <f t="shared" ref="N828:N891" si="40">IF(M828="","",IF(ISNUMBER(M828),"Closed","Open"))</f>
        <v/>
      </c>
      <c r="O828" s="2"/>
      <c r="P828" s="2"/>
      <c r="Q828" s="2"/>
      <c r="R828" s="2"/>
      <c r="S828" s="1" t="str">
        <f t="shared" ref="S828:S891" si="41">IF(Q828="","",R828-Q828)</f>
        <v/>
      </c>
    </row>
    <row r="829" spans="1:19" x14ac:dyDescent="0.25">
      <c r="A829" s="2"/>
      <c r="F829" s="28"/>
      <c r="H829" s="1" t="str">
        <f t="shared" ca="1" si="39"/>
        <v/>
      </c>
      <c r="M829" s="2"/>
      <c r="N829" s="1" t="str">
        <f t="shared" si="40"/>
        <v/>
      </c>
      <c r="O829" s="2"/>
      <c r="P829" s="2"/>
      <c r="Q829" s="2"/>
      <c r="R829" s="2"/>
      <c r="S829" s="1" t="str">
        <f t="shared" si="41"/>
        <v/>
      </c>
    </row>
    <row r="830" spans="1:19" x14ac:dyDescent="0.25">
      <c r="A830" s="2"/>
      <c r="F830" s="28"/>
      <c r="H830" s="1" t="str">
        <f t="shared" ca="1" si="39"/>
        <v/>
      </c>
      <c r="M830" s="2"/>
      <c r="N830" s="1" t="str">
        <f t="shared" si="40"/>
        <v/>
      </c>
      <c r="O830" s="2"/>
      <c r="P830" s="2"/>
      <c r="Q830" s="2"/>
      <c r="R830" s="2"/>
      <c r="S830" s="1" t="str">
        <f t="shared" si="41"/>
        <v/>
      </c>
    </row>
    <row r="831" spans="1:19" x14ac:dyDescent="0.25">
      <c r="A831" s="2"/>
      <c r="F831" s="28"/>
      <c r="H831" s="1" t="str">
        <f t="shared" ca="1" si="39"/>
        <v/>
      </c>
      <c r="M831" s="2"/>
      <c r="N831" s="1" t="str">
        <f t="shared" si="40"/>
        <v/>
      </c>
      <c r="O831" s="2"/>
      <c r="P831" s="2"/>
      <c r="Q831" s="2"/>
      <c r="R831" s="2"/>
      <c r="S831" s="1" t="str">
        <f t="shared" si="41"/>
        <v/>
      </c>
    </row>
    <row r="832" spans="1:19" x14ac:dyDescent="0.25">
      <c r="A832" s="2"/>
      <c r="F832" s="28"/>
      <c r="H832" s="1" t="str">
        <f t="shared" ca="1" si="39"/>
        <v/>
      </c>
      <c r="M832" s="2"/>
      <c r="N832" s="1" t="str">
        <f t="shared" si="40"/>
        <v/>
      </c>
      <c r="O832" s="2"/>
      <c r="P832" s="2"/>
      <c r="Q832" s="2"/>
      <c r="R832" s="2"/>
      <c r="S832" s="1" t="str">
        <f t="shared" si="41"/>
        <v/>
      </c>
    </row>
    <row r="833" spans="1:19" x14ac:dyDescent="0.25">
      <c r="A833" s="2"/>
      <c r="F833" s="28"/>
      <c r="H833" s="1" t="str">
        <f t="shared" ca="1" si="39"/>
        <v/>
      </c>
      <c r="M833" s="2"/>
      <c r="N833" s="1" t="str">
        <f t="shared" si="40"/>
        <v/>
      </c>
      <c r="O833" s="2"/>
      <c r="P833" s="2"/>
      <c r="Q833" s="2"/>
      <c r="R833" s="2"/>
      <c r="S833" s="1" t="str">
        <f t="shared" si="41"/>
        <v/>
      </c>
    </row>
    <row r="834" spans="1:19" x14ac:dyDescent="0.25">
      <c r="A834" s="2"/>
      <c r="F834" s="28"/>
      <c r="H834" s="1" t="str">
        <f t="shared" ca="1" si="39"/>
        <v/>
      </c>
      <c r="M834" s="2"/>
      <c r="N834" s="1" t="str">
        <f t="shared" si="40"/>
        <v/>
      </c>
      <c r="O834" s="2"/>
      <c r="P834" s="2"/>
      <c r="Q834" s="2"/>
      <c r="R834" s="2"/>
      <c r="S834" s="1" t="str">
        <f t="shared" si="41"/>
        <v/>
      </c>
    </row>
    <row r="835" spans="1:19" x14ac:dyDescent="0.25">
      <c r="A835" s="2"/>
      <c r="F835" s="28"/>
      <c r="H835" s="1" t="str">
        <f t="shared" ca="1" si="39"/>
        <v/>
      </c>
      <c r="M835" s="2"/>
      <c r="N835" s="1" t="str">
        <f t="shared" si="40"/>
        <v/>
      </c>
      <c r="O835" s="2"/>
      <c r="P835" s="2"/>
      <c r="Q835" s="2"/>
      <c r="R835" s="2"/>
      <c r="S835" s="1" t="str">
        <f t="shared" si="41"/>
        <v/>
      </c>
    </row>
    <row r="836" spans="1:19" x14ac:dyDescent="0.25">
      <c r="A836" s="2"/>
      <c r="F836" s="28"/>
      <c r="H836" s="1" t="str">
        <f t="shared" ca="1" si="39"/>
        <v/>
      </c>
      <c r="M836" s="2"/>
      <c r="N836" s="1" t="str">
        <f t="shared" si="40"/>
        <v/>
      </c>
      <c r="O836" s="2"/>
      <c r="P836" s="2"/>
      <c r="Q836" s="2"/>
      <c r="R836" s="2"/>
      <c r="S836" s="1" t="str">
        <f t="shared" si="41"/>
        <v/>
      </c>
    </row>
    <row r="837" spans="1:19" x14ac:dyDescent="0.25">
      <c r="A837" s="2"/>
      <c r="F837" s="28"/>
      <c r="H837" s="1" t="str">
        <f t="shared" ca="1" si="39"/>
        <v/>
      </c>
      <c r="M837" s="2"/>
      <c r="N837" s="1" t="str">
        <f t="shared" si="40"/>
        <v/>
      </c>
      <c r="O837" s="2"/>
      <c r="P837" s="2"/>
      <c r="Q837" s="2"/>
      <c r="R837" s="2"/>
      <c r="S837" s="1" t="str">
        <f t="shared" si="41"/>
        <v/>
      </c>
    </row>
    <row r="838" spans="1:19" x14ac:dyDescent="0.25">
      <c r="A838" s="2"/>
      <c r="F838" s="28"/>
      <c r="H838" s="1" t="str">
        <f t="shared" ca="1" si="39"/>
        <v/>
      </c>
      <c r="M838" s="2"/>
      <c r="N838" s="1" t="str">
        <f t="shared" si="40"/>
        <v/>
      </c>
      <c r="O838" s="2"/>
      <c r="P838" s="2"/>
      <c r="Q838" s="2"/>
      <c r="R838" s="2"/>
      <c r="S838" s="1" t="str">
        <f t="shared" si="41"/>
        <v/>
      </c>
    </row>
    <row r="839" spans="1:19" x14ac:dyDescent="0.25">
      <c r="A839" s="2"/>
      <c r="F839" s="28"/>
      <c r="H839" s="1" t="str">
        <f t="shared" ca="1" si="39"/>
        <v/>
      </c>
      <c r="M839" s="2"/>
      <c r="N839" s="1" t="str">
        <f t="shared" si="40"/>
        <v/>
      </c>
      <c r="O839" s="2"/>
      <c r="P839" s="2"/>
      <c r="Q839" s="2"/>
      <c r="R839" s="2"/>
      <c r="S839" s="1" t="str">
        <f t="shared" si="41"/>
        <v/>
      </c>
    </row>
    <row r="840" spans="1:19" x14ac:dyDescent="0.25">
      <c r="A840" s="2"/>
      <c r="F840" s="28"/>
      <c r="H840" s="1" t="str">
        <f t="shared" ca="1" si="39"/>
        <v/>
      </c>
      <c r="M840" s="2"/>
      <c r="N840" s="1" t="str">
        <f t="shared" si="40"/>
        <v/>
      </c>
      <c r="O840" s="2"/>
      <c r="P840" s="2"/>
      <c r="Q840" s="2"/>
      <c r="R840" s="2"/>
      <c r="S840" s="1" t="str">
        <f t="shared" si="41"/>
        <v/>
      </c>
    </row>
    <row r="841" spans="1:19" x14ac:dyDescent="0.25">
      <c r="A841" s="2"/>
      <c r="F841" s="28"/>
      <c r="H841" s="1" t="str">
        <f t="shared" ca="1" si="39"/>
        <v/>
      </c>
      <c r="M841" s="2"/>
      <c r="N841" s="1" t="str">
        <f t="shared" si="40"/>
        <v/>
      </c>
      <c r="O841" s="2"/>
      <c r="P841" s="2"/>
      <c r="Q841" s="2"/>
      <c r="R841" s="2"/>
      <c r="S841" s="1" t="str">
        <f t="shared" si="41"/>
        <v/>
      </c>
    </row>
    <row r="842" spans="1:19" x14ac:dyDescent="0.25">
      <c r="A842" s="2"/>
      <c r="F842" s="28"/>
      <c r="H842" s="1" t="str">
        <f t="shared" ca="1" si="39"/>
        <v/>
      </c>
      <c r="M842" s="2"/>
      <c r="N842" s="1" t="str">
        <f t="shared" si="40"/>
        <v/>
      </c>
      <c r="O842" s="2"/>
      <c r="P842" s="2"/>
      <c r="Q842" s="2"/>
      <c r="R842" s="2"/>
      <c r="S842" s="1" t="str">
        <f t="shared" si="41"/>
        <v/>
      </c>
    </row>
    <row r="843" spans="1:19" x14ac:dyDescent="0.25">
      <c r="A843" s="2"/>
      <c r="F843" s="28"/>
      <c r="H843" s="1" t="str">
        <f t="shared" ca="1" si="39"/>
        <v/>
      </c>
      <c r="M843" s="2"/>
      <c r="N843" s="1" t="str">
        <f t="shared" si="40"/>
        <v/>
      </c>
      <c r="O843" s="2"/>
      <c r="P843" s="2"/>
      <c r="Q843" s="2"/>
      <c r="R843" s="2"/>
      <c r="S843" s="1" t="str">
        <f t="shared" si="41"/>
        <v/>
      </c>
    </row>
    <row r="844" spans="1:19" x14ac:dyDescent="0.25">
      <c r="A844" s="2"/>
      <c r="F844" s="28"/>
      <c r="H844" s="1" t="str">
        <f t="shared" ca="1" si="39"/>
        <v/>
      </c>
      <c r="M844" s="2"/>
      <c r="N844" s="1" t="str">
        <f t="shared" si="40"/>
        <v/>
      </c>
      <c r="O844" s="2"/>
      <c r="P844" s="2"/>
      <c r="Q844" s="2"/>
      <c r="R844" s="2"/>
      <c r="S844" s="1" t="str">
        <f t="shared" si="41"/>
        <v/>
      </c>
    </row>
    <row r="845" spans="1:19" x14ac:dyDescent="0.25">
      <c r="A845" s="2"/>
      <c r="F845" s="28"/>
      <c r="H845" s="1" t="str">
        <f t="shared" ca="1" si="39"/>
        <v/>
      </c>
      <c r="M845" s="2"/>
      <c r="N845" s="1" t="str">
        <f t="shared" si="40"/>
        <v/>
      </c>
      <c r="O845" s="2"/>
      <c r="P845" s="2"/>
      <c r="Q845" s="2"/>
      <c r="R845" s="2"/>
      <c r="S845" s="1" t="str">
        <f t="shared" si="41"/>
        <v/>
      </c>
    </row>
    <row r="846" spans="1:19" x14ac:dyDescent="0.25">
      <c r="A846" s="2"/>
      <c r="F846" s="28"/>
      <c r="H846" s="1" t="str">
        <f t="shared" ca="1" si="39"/>
        <v/>
      </c>
      <c r="M846" s="2"/>
      <c r="N846" s="1" t="str">
        <f t="shared" si="40"/>
        <v/>
      </c>
      <c r="O846" s="2"/>
      <c r="P846" s="2"/>
      <c r="Q846" s="2"/>
      <c r="R846" s="2"/>
      <c r="S846" s="1" t="str">
        <f t="shared" si="41"/>
        <v/>
      </c>
    </row>
    <row r="847" spans="1:19" x14ac:dyDescent="0.25">
      <c r="A847" s="2"/>
      <c r="F847" s="28"/>
      <c r="H847" s="1" t="str">
        <f t="shared" ca="1" si="39"/>
        <v/>
      </c>
      <c r="M847" s="2"/>
      <c r="N847" s="1" t="str">
        <f t="shared" si="40"/>
        <v/>
      </c>
      <c r="O847" s="2"/>
      <c r="P847" s="2"/>
      <c r="Q847" s="2"/>
      <c r="R847" s="2"/>
      <c r="S847" s="1" t="str">
        <f t="shared" si="41"/>
        <v/>
      </c>
    </row>
    <row r="848" spans="1:19" x14ac:dyDescent="0.25">
      <c r="A848" s="2"/>
      <c r="F848" s="28"/>
      <c r="H848" s="1" t="str">
        <f t="shared" ca="1" si="39"/>
        <v/>
      </c>
      <c r="M848" s="2"/>
      <c r="N848" s="1" t="str">
        <f t="shared" si="40"/>
        <v/>
      </c>
      <c r="O848" s="2"/>
      <c r="P848" s="2"/>
      <c r="Q848" s="2"/>
      <c r="R848" s="2"/>
      <c r="S848" s="1" t="str">
        <f t="shared" si="41"/>
        <v/>
      </c>
    </row>
    <row r="849" spans="1:19" x14ac:dyDescent="0.25">
      <c r="A849" s="2"/>
      <c r="F849" s="28"/>
      <c r="H849" s="1" t="str">
        <f t="shared" ca="1" si="39"/>
        <v/>
      </c>
      <c r="M849" s="2"/>
      <c r="N849" s="1" t="str">
        <f t="shared" si="40"/>
        <v/>
      </c>
      <c r="O849" s="2"/>
      <c r="P849" s="2"/>
      <c r="Q849" s="2"/>
      <c r="R849" s="2"/>
      <c r="S849" s="1" t="str">
        <f t="shared" si="41"/>
        <v/>
      </c>
    </row>
    <row r="850" spans="1:19" x14ac:dyDescent="0.25">
      <c r="A850" s="2"/>
      <c r="F850" s="28"/>
      <c r="H850" s="1" t="str">
        <f t="shared" ca="1" si="39"/>
        <v/>
      </c>
      <c r="M850" s="2"/>
      <c r="N850" s="1" t="str">
        <f t="shared" si="40"/>
        <v/>
      </c>
      <c r="O850" s="2"/>
      <c r="P850" s="2"/>
      <c r="Q850" s="2"/>
      <c r="R850" s="2"/>
      <c r="S850" s="1" t="str">
        <f t="shared" si="41"/>
        <v/>
      </c>
    </row>
    <row r="851" spans="1:19" x14ac:dyDescent="0.25">
      <c r="A851" s="2"/>
      <c r="F851" s="28"/>
      <c r="H851" s="1" t="str">
        <f t="shared" ca="1" si="39"/>
        <v/>
      </c>
      <c r="M851" s="2"/>
      <c r="N851" s="1" t="str">
        <f t="shared" si="40"/>
        <v/>
      </c>
      <c r="O851" s="2"/>
      <c r="P851" s="2"/>
      <c r="Q851" s="2"/>
      <c r="R851" s="2"/>
      <c r="S851" s="1" t="str">
        <f t="shared" si="41"/>
        <v/>
      </c>
    </row>
    <row r="852" spans="1:19" x14ac:dyDescent="0.25">
      <c r="A852" s="2"/>
      <c r="F852" s="28"/>
      <c r="H852" s="1" t="str">
        <f t="shared" ca="1" si="39"/>
        <v/>
      </c>
      <c r="M852" s="2"/>
      <c r="N852" s="1" t="str">
        <f t="shared" si="40"/>
        <v/>
      </c>
      <c r="O852" s="2"/>
      <c r="P852" s="2"/>
      <c r="Q852" s="2"/>
      <c r="R852" s="2"/>
      <c r="S852" s="1" t="str">
        <f t="shared" si="41"/>
        <v/>
      </c>
    </row>
    <row r="853" spans="1:19" x14ac:dyDescent="0.25">
      <c r="A853" s="2"/>
      <c r="F853" s="28"/>
      <c r="H853" s="1" t="str">
        <f t="shared" ca="1" si="39"/>
        <v/>
      </c>
      <c r="M853" s="2"/>
      <c r="N853" s="1" t="str">
        <f t="shared" si="40"/>
        <v/>
      </c>
      <c r="O853" s="2"/>
      <c r="P853" s="2"/>
      <c r="Q853" s="2"/>
      <c r="R853" s="2"/>
      <c r="S853" s="1" t="str">
        <f t="shared" si="41"/>
        <v/>
      </c>
    </row>
    <row r="854" spans="1:19" x14ac:dyDescent="0.25">
      <c r="A854" s="2"/>
      <c r="F854" s="28"/>
      <c r="H854" s="1" t="str">
        <f t="shared" ca="1" si="39"/>
        <v/>
      </c>
      <c r="M854" s="2"/>
      <c r="N854" s="1" t="str">
        <f t="shared" si="40"/>
        <v/>
      </c>
      <c r="O854" s="2"/>
      <c r="P854" s="2"/>
      <c r="Q854" s="2"/>
      <c r="R854" s="2"/>
      <c r="S854" s="1" t="str">
        <f t="shared" si="41"/>
        <v/>
      </c>
    </row>
    <row r="855" spans="1:19" x14ac:dyDescent="0.25">
      <c r="A855" s="2"/>
      <c r="F855" s="28"/>
      <c r="H855" s="1" t="str">
        <f t="shared" ca="1" si="39"/>
        <v/>
      </c>
      <c r="M855" s="2"/>
      <c r="N855" s="1" t="str">
        <f t="shared" si="40"/>
        <v/>
      </c>
      <c r="O855" s="2"/>
      <c r="P855" s="2"/>
      <c r="Q855" s="2"/>
      <c r="R855" s="2"/>
      <c r="S855" s="1" t="str">
        <f t="shared" si="41"/>
        <v/>
      </c>
    </row>
    <row r="856" spans="1:19" x14ac:dyDescent="0.25">
      <c r="A856" s="2"/>
      <c r="F856" s="28"/>
      <c r="H856" s="1" t="str">
        <f t="shared" ca="1" si="39"/>
        <v/>
      </c>
      <c r="M856" s="2"/>
      <c r="N856" s="1" t="str">
        <f t="shared" si="40"/>
        <v/>
      </c>
      <c r="O856" s="2"/>
      <c r="P856" s="2"/>
      <c r="Q856" s="2"/>
      <c r="R856" s="2"/>
      <c r="S856" s="1" t="str">
        <f t="shared" si="41"/>
        <v/>
      </c>
    </row>
    <row r="857" spans="1:19" x14ac:dyDescent="0.25">
      <c r="A857" s="2"/>
      <c r="F857" s="28"/>
      <c r="H857" s="1" t="str">
        <f t="shared" ca="1" si="39"/>
        <v/>
      </c>
      <c r="M857" s="2"/>
      <c r="N857" s="1" t="str">
        <f t="shared" si="40"/>
        <v/>
      </c>
      <c r="O857" s="2"/>
      <c r="P857" s="2"/>
      <c r="Q857" s="2"/>
      <c r="R857" s="2"/>
      <c r="S857" s="1" t="str">
        <f t="shared" si="41"/>
        <v/>
      </c>
    </row>
    <row r="858" spans="1:19" x14ac:dyDescent="0.25">
      <c r="A858" s="2"/>
      <c r="F858" s="28"/>
      <c r="H858" s="1" t="str">
        <f t="shared" ca="1" si="39"/>
        <v/>
      </c>
      <c r="M858" s="2"/>
      <c r="N858" s="1" t="str">
        <f t="shared" si="40"/>
        <v/>
      </c>
      <c r="O858" s="2"/>
      <c r="P858" s="2"/>
      <c r="Q858" s="2"/>
      <c r="R858" s="2"/>
      <c r="S858" s="1" t="str">
        <f t="shared" si="41"/>
        <v/>
      </c>
    </row>
    <row r="859" spans="1:19" x14ac:dyDescent="0.25">
      <c r="A859" s="2"/>
      <c r="F859" s="28"/>
      <c r="H859" s="1" t="str">
        <f t="shared" ca="1" si="39"/>
        <v/>
      </c>
      <c r="M859" s="2"/>
      <c r="N859" s="1" t="str">
        <f t="shared" si="40"/>
        <v/>
      </c>
      <c r="O859" s="2"/>
      <c r="P859" s="2"/>
      <c r="Q859" s="2"/>
      <c r="R859" s="2"/>
      <c r="S859" s="1" t="str">
        <f t="shared" si="41"/>
        <v/>
      </c>
    </row>
    <row r="860" spans="1:19" x14ac:dyDescent="0.25">
      <c r="A860" s="2"/>
      <c r="F860" s="28"/>
      <c r="H860" s="1" t="str">
        <f t="shared" ca="1" si="39"/>
        <v/>
      </c>
      <c r="M860" s="2"/>
      <c r="N860" s="1" t="str">
        <f t="shared" si="40"/>
        <v/>
      </c>
      <c r="O860" s="2"/>
      <c r="P860" s="2"/>
      <c r="Q860" s="2"/>
      <c r="R860" s="2"/>
      <c r="S860" s="1" t="str">
        <f t="shared" si="41"/>
        <v/>
      </c>
    </row>
    <row r="861" spans="1:19" x14ac:dyDescent="0.25">
      <c r="A861" s="2"/>
      <c r="F861" s="28"/>
      <c r="H861" s="1" t="str">
        <f t="shared" ca="1" si="39"/>
        <v/>
      </c>
      <c r="M861" s="2"/>
      <c r="N861" s="1" t="str">
        <f t="shared" si="40"/>
        <v/>
      </c>
      <c r="O861" s="2"/>
      <c r="P861" s="2"/>
      <c r="Q861" s="2"/>
      <c r="R861" s="2"/>
      <c r="S861" s="1" t="str">
        <f t="shared" si="41"/>
        <v/>
      </c>
    </row>
    <row r="862" spans="1:19" x14ac:dyDescent="0.25">
      <c r="A862" s="2"/>
      <c r="F862" s="28"/>
      <c r="H862" s="1" t="str">
        <f t="shared" ca="1" si="39"/>
        <v/>
      </c>
      <c r="M862" s="2"/>
      <c r="N862" s="1" t="str">
        <f t="shared" si="40"/>
        <v/>
      </c>
      <c r="O862" s="2"/>
      <c r="P862" s="2"/>
      <c r="Q862" s="2"/>
      <c r="R862" s="2"/>
      <c r="S862" s="1" t="str">
        <f t="shared" si="41"/>
        <v/>
      </c>
    </row>
    <row r="863" spans="1:19" x14ac:dyDescent="0.25">
      <c r="A863" s="2"/>
      <c r="F863" s="28"/>
      <c r="H863" s="1" t="str">
        <f t="shared" ca="1" si="39"/>
        <v/>
      </c>
      <c r="M863" s="2"/>
      <c r="N863" s="1" t="str">
        <f t="shared" si="40"/>
        <v/>
      </c>
      <c r="O863" s="2"/>
      <c r="P863" s="2"/>
      <c r="Q863" s="2"/>
      <c r="R863" s="2"/>
      <c r="S863" s="1" t="str">
        <f t="shared" si="41"/>
        <v/>
      </c>
    </row>
    <row r="864" spans="1:19" x14ac:dyDescent="0.25">
      <c r="A864" s="2"/>
      <c r="F864" s="28"/>
      <c r="H864" s="1" t="str">
        <f t="shared" ca="1" si="39"/>
        <v/>
      </c>
      <c r="M864" s="2"/>
      <c r="N864" s="1" t="str">
        <f t="shared" si="40"/>
        <v/>
      </c>
      <c r="O864" s="2"/>
      <c r="P864" s="2"/>
      <c r="Q864" s="2"/>
      <c r="R864" s="2"/>
      <c r="S864" s="1" t="str">
        <f t="shared" si="41"/>
        <v/>
      </c>
    </row>
    <row r="865" spans="1:19" x14ac:dyDescent="0.25">
      <c r="A865" s="2"/>
      <c r="F865" s="28"/>
      <c r="H865" s="1" t="str">
        <f t="shared" ca="1" si="39"/>
        <v/>
      </c>
      <c r="M865" s="2"/>
      <c r="N865" s="1" t="str">
        <f t="shared" si="40"/>
        <v/>
      </c>
      <c r="O865" s="2"/>
      <c r="P865" s="2"/>
      <c r="Q865" s="2"/>
      <c r="R865" s="2"/>
      <c r="S865" s="1" t="str">
        <f t="shared" si="41"/>
        <v/>
      </c>
    </row>
    <row r="866" spans="1:19" x14ac:dyDescent="0.25">
      <c r="A866" s="2"/>
      <c r="F866" s="28"/>
      <c r="H866" s="1" t="str">
        <f t="shared" ca="1" si="39"/>
        <v/>
      </c>
      <c r="M866" s="2"/>
      <c r="N866" s="1" t="str">
        <f t="shared" si="40"/>
        <v/>
      </c>
      <c r="O866" s="2"/>
      <c r="P866" s="2"/>
      <c r="Q866" s="2"/>
      <c r="R866" s="2"/>
      <c r="S866" s="1" t="str">
        <f t="shared" si="41"/>
        <v/>
      </c>
    </row>
    <row r="867" spans="1:19" x14ac:dyDescent="0.25">
      <c r="A867" s="2"/>
      <c r="F867" s="28"/>
      <c r="H867" s="1" t="str">
        <f t="shared" ca="1" si="39"/>
        <v/>
      </c>
      <c r="M867" s="2"/>
      <c r="N867" s="1" t="str">
        <f t="shared" si="40"/>
        <v/>
      </c>
      <c r="O867" s="2"/>
      <c r="P867" s="2"/>
      <c r="Q867" s="2"/>
      <c r="R867" s="2"/>
      <c r="S867" s="1" t="str">
        <f t="shared" si="41"/>
        <v/>
      </c>
    </row>
    <row r="868" spans="1:19" x14ac:dyDescent="0.25">
      <c r="A868" s="2"/>
      <c r="F868" s="28"/>
      <c r="H868" s="1" t="str">
        <f t="shared" ca="1" si="39"/>
        <v/>
      </c>
      <c r="M868" s="2"/>
      <c r="N868" s="1" t="str">
        <f t="shared" si="40"/>
        <v/>
      </c>
      <c r="O868" s="2"/>
      <c r="P868" s="2"/>
      <c r="Q868" s="2"/>
      <c r="R868" s="2"/>
      <c r="S868" s="1" t="str">
        <f t="shared" si="41"/>
        <v/>
      </c>
    </row>
    <row r="869" spans="1:19" x14ac:dyDescent="0.25">
      <c r="A869" s="2"/>
      <c r="F869" s="28"/>
      <c r="H869" s="1" t="str">
        <f t="shared" ca="1" si="39"/>
        <v/>
      </c>
      <c r="M869" s="2"/>
      <c r="N869" s="1" t="str">
        <f t="shared" si="40"/>
        <v/>
      </c>
      <c r="O869" s="2"/>
      <c r="P869" s="2"/>
      <c r="Q869" s="2"/>
      <c r="R869" s="2"/>
      <c r="S869" s="1" t="str">
        <f t="shared" si="41"/>
        <v/>
      </c>
    </row>
    <row r="870" spans="1:19" x14ac:dyDescent="0.25">
      <c r="A870" s="2"/>
      <c r="F870" s="28"/>
      <c r="H870" s="1" t="str">
        <f t="shared" ca="1" si="39"/>
        <v/>
      </c>
      <c r="M870" s="2"/>
      <c r="N870" s="1" t="str">
        <f t="shared" si="40"/>
        <v/>
      </c>
      <c r="O870" s="2"/>
      <c r="P870" s="2"/>
      <c r="Q870" s="2"/>
      <c r="R870" s="2"/>
      <c r="S870" s="1" t="str">
        <f t="shared" si="41"/>
        <v/>
      </c>
    </row>
    <row r="871" spans="1:19" x14ac:dyDescent="0.25">
      <c r="A871" s="2"/>
      <c r="F871" s="28"/>
      <c r="H871" s="1" t="str">
        <f t="shared" ca="1" si="39"/>
        <v/>
      </c>
      <c r="M871" s="2"/>
      <c r="N871" s="1" t="str">
        <f t="shared" si="40"/>
        <v/>
      </c>
      <c r="O871" s="2"/>
      <c r="P871" s="2"/>
      <c r="Q871" s="2"/>
      <c r="R871" s="2"/>
      <c r="S871" s="1" t="str">
        <f t="shared" si="41"/>
        <v/>
      </c>
    </row>
    <row r="872" spans="1:19" x14ac:dyDescent="0.25">
      <c r="A872" s="2"/>
      <c r="F872" s="28"/>
      <c r="H872" s="1" t="str">
        <f t="shared" ca="1" si="39"/>
        <v/>
      </c>
      <c r="M872" s="2"/>
      <c r="N872" s="1" t="str">
        <f t="shared" si="40"/>
        <v/>
      </c>
      <c r="O872" s="2"/>
      <c r="P872" s="2"/>
      <c r="Q872" s="2"/>
      <c r="R872" s="2"/>
      <c r="S872" s="1" t="str">
        <f t="shared" si="41"/>
        <v/>
      </c>
    </row>
    <row r="873" spans="1:19" x14ac:dyDescent="0.25">
      <c r="A873" s="2"/>
      <c r="F873" s="28"/>
      <c r="H873" s="1" t="str">
        <f t="shared" ca="1" si="39"/>
        <v/>
      </c>
      <c r="M873" s="2"/>
      <c r="N873" s="1" t="str">
        <f t="shared" si="40"/>
        <v/>
      </c>
      <c r="O873" s="2"/>
      <c r="P873" s="2"/>
      <c r="Q873" s="2"/>
      <c r="R873" s="2"/>
      <c r="S873" s="1" t="str">
        <f t="shared" si="41"/>
        <v/>
      </c>
    </row>
    <row r="874" spans="1:19" x14ac:dyDescent="0.25">
      <c r="A874" s="2"/>
      <c r="F874" s="28"/>
      <c r="H874" s="1" t="str">
        <f t="shared" ca="1" si="39"/>
        <v/>
      </c>
      <c r="M874" s="2"/>
      <c r="N874" s="1" t="str">
        <f t="shared" si="40"/>
        <v/>
      </c>
      <c r="O874" s="2"/>
      <c r="P874" s="2"/>
      <c r="Q874" s="2"/>
      <c r="R874" s="2"/>
      <c r="S874" s="1" t="str">
        <f t="shared" si="41"/>
        <v/>
      </c>
    </row>
    <row r="875" spans="1:19" x14ac:dyDescent="0.25">
      <c r="A875" s="2"/>
      <c r="F875" s="28"/>
      <c r="H875" s="1" t="str">
        <f t="shared" ca="1" si="39"/>
        <v/>
      </c>
      <c r="M875" s="2"/>
      <c r="N875" s="1" t="str">
        <f t="shared" si="40"/>
        <v/>
      </c>
      <c r="O875" s="2"/>
      <c r="P875" s="2"/>
      <c r="Q875" s="2"/>
      <c r="R875" s="2"/>
      <c r="S875" s="1" t="str">
        <f t="shared" si="41"/>
        <v/>
      </c>
    </row>
    <row r="876" spans="1:19" x14ac:dyDescent="0.25">
      <c r="A876" s="2"/>
      <c r="F876" s="28"/>
      <c r="H876" s="1" t="str">
        <f t="shared" ca="1" si="39"/>
        <v/>
      </c>
      <c r="M876" s="2"/>
      <c r="N876" s="1" t="str">
        <f t="shared" si="40"/>
        <v/>
      </c>
      <c r="O876" s="2"/>
      <c r="P876" s="2"/>
      <c r="Q876" s="2"/>
      <c r="R876" s="2"/>
      <c r="S876" s="1" t="str">
        <f t="shared" si="41"/>
        <v/>
      </c>
    </row>
    <row r="877" spans="1:19" x14ac:dyDescent="0.25">
      <c r="A877" s="2"/>
      <c r="F877" s="28"/>
      <c r="H877" s="1" t="str">
        <f t="shared" ca="1" si="39"/>
        <v/>
      </c>
      <c r="M877" s="2"/>
      <c r="N877" s="1" t="str">
        <f t="shared" si="40"/>
        <v/>
      </c>
      <c r="O877" s="2"/>
      <c r="P877" s="2"/>
      <c r="Q877" s="2"/>
      <c r="R877" s="2"/>
      <c r="S877" s="1" t="str">
        <f t="shared" si="41"/>
        <v/>
      </c>
    </row>
    <row r="878" spans="1:19" x14ac:dyDescent="0.25">
      <c r="A878" s="2"/>
      <c r="F878" s="28"/>
      <c r="H878" s="1" t="str">
        <f t="shared" ca="1" si="39"/>
        <v/>
      </c>
      <c r="M878" s="2"/>
      <c r="N878" s="1" t="str">
        <f t="shared" si="40"/>
        <v/>
      </c>
      <c r="O878" s="2"/>
      <c r="P878" s="2"/>
      <c r="Q878" s="2"/>
      <c r="R878" s="2"/>
      <c r="S878" s="1" t="str">
        <f t="shared" si="41"/>
        <v/>
      </c>
    </row>
    <row r="879" spans="1:19" x14ac:dyDescent="0.25">
      <c r="A879" s="2"/>
      <c r="F879" s="28"/>
      <c r="H879" s="1" t="str">
        <f t="shared" ca="1" si="39"/>
        <v/>
      </c>
      <c r="M879" s="2"/>
      <c r="N879" s="1" t="str">
        <f t="shared" si="40"/>
        <v/>
      </c>
      <c r="O879" s="2"/>
      <c r="P879" s="2"/>
      <c r="Q879" s="2"/>
      <c r="R879" s="2"/>
      <c r="S879" s="1" t="str">
        <f t="shared" si="41"/>
        <v/>
      </c>
    </row>
    <row r="880" spans="1:19" x14ac:dyDescent="0.25">
      <c r="A880" s="2"/>
      <c r="F880" s="28"/>
      <c r="H880" s="1" t="str">
        <f t="shared" ca="1" si="39"/>
        <v/>
      </c>
      <c r="M880" s="2"/>
      <c r="N880" s="1" t="str">
        <f t="shared" si="40"/>
        <v/>
      </c>
      <c r="O880" s="2"/>
      <c r="P880" s="2"/>
      <c r="Q880" s="2"/>
      <c r="R880" s="2"/>
      <c r="S880" s="1" t="str">
        <f t="shared" si="41"/>
        <v/>
      </c>
    </row>
    <row r="881" spans="1:19" x14ac:dyDescent="0.25">
      <c r="A881" s="2"/>
      <c r="F881" s="28"/>
      <c r="H881" s="1" t="str">
        <f t="shared" ca="1" si="39"/>
        <v/>
      </c>
      <c r="M881" s="2"/>
      <c r="N881" s="1" t="str">
        <f t="shared" si="40"/>
        <v/>
      </c>
      <c r="O881" s="2"/>
      <c r="P881" s="2"/>
      <c r="Q881" s="2"/>
      <c r="R881" s="2"/>
      <c r="S881" s="1" t="str">
        <f t="shared" si="41"/>
        <v/>
      </c>
    </row>
    <row r="882" spans="1:19" x14ac:dyDescent="0.25">
      <c r="A882" s="2"/>
      <c r="F882" s="28"/>
      <c r="H882" s="1" t="str">
        <f t="shared" ca="1" si="39"/>
        <v/>
      </c>
      <c r="M882" s="2"/>
      <c r="N882" s="1" t="str">
        <f t="shared" si="40"/>
        <v/>
      </c>
      <c r="O882" s="2"/>
      <c r="P882" s="2"/>
      <c r="Q882" s="2"/>
      <c r="R882" s="2"/>
      <c r="S882" s="1" t="str">
        <f t="shared" si="41"/>
        <v/>
      </c>
    </row>
    <row r="883" spans="1:19" x14ac:dyDescent="0.25">
      <c r="A883" s="2"/>
      <c r="F883" s="28"/>
      <c r="H883" s="1" t="str">
        <f t="shared" ca="1" si="39"/>
        <v/>
      </c>
      <c r="M883" s="2"/>
      <c r="N883" s="1" t="str">
        <f t="shared" si="40"/>
        <v/>
      </c>
      <c r="O883" s="2"/>
      <c r="P883" s="2"/>
      <c r="Q883" s="2"/>
      <c r="R883" s="2"/>
      <c r="S883" s="1" t="str">
        <f t="shared" si="41"/>
        <v/>
      </c>
    </row>
    <row r="884" spans="1:19" x14ac:dyDescent="0.25">
      <c r="A884" s="2"/>
      <c r="F884" s="28"/>
      <c r="H884" s="1" t="str">
        <f t="shared" ca="1" si="39"/>
        <v/>
      </c>
      <c r="M884" s="2"/>
      <c r="N884" s="1" t="str">
        <f t="shared" si="40"/>
        <v/>
      </c>
      <c r="O884" s="2"/>
      <c r="P884" s="2"/>
      <c r="Q884" s="2"/>
      <c r="R884" s="2"/>
      <c r="S884" s="1" t="str">
        <f t="shared" si="41"/>
        <v/>
      </c>
    </row>
    <row r="885" spans="1:19" x14ac:dyDescent="0.25">
      <c r="A885" s="2"/>
      <c r="F885" s="28"/>
      <c r="H885" s="1" t="str">
        <f t="shared" ca="1" si="39"/>
        <v/>
      </c>
      <c r="M885" s="2"/>
      <c r="N885" s="1" t="str">
        <f t="shared" si="40"/>
        <v/>
      </c>
      <c r="O885" s="2"/>
      <c r="P885" s="2"/>
      <c r="Q885" s="2"/>
      <c r="R885" s="2"/>
      <c r="S885" s="1" t="str">
        <f t="shared" si="41"/>
        <v/>
      </c>
    </row>
    <row r="886" spans="1:19" x14ac:dyDescent="0.25">
      <c r="A886" s="2"/>
      <c r="F886" s="28"/>
      <c r="H886" s="1" t="str">
        <f t="shared" ca="1" si="39"/>
        <v/>
      </c>
      <c r="M886" s="2"/>
      <c r="N886" s="1" t="str">
        <f t="shared" si="40"/>
        <v/>
      </c>
      <c r="O886" s="2"/>
      <c r="P886" s="2"/>
      <c r="Q886" s="2"/>
      <c r="R886" s="2"/>
      <c r="S886" s="1" t="str">
        <f t="shared" si="41"/>
        <v/>
      </c>
    </row>
    <row r="887" spans="1:19" x14ac:dyDescent="0.25">
      <c r="A887" s="2"/>
      <c r="F887" s="28"/>
      <c r="H887" s="1" t="str">
        <f t="shared" ca="1" si="39"/>
        <v/>
      </c>
      <c r="M887" s="2"/>
      <c r="N887" s="1" t="str">
        <f t="shared" si="40"/>
        <v/>
      </c>
      <c r="O887" s="2"/>
      <c r="P887" s="2"/>
      <c r="Q887" s="2"/>
      <c r="R887" s="2"/>
      <c r="S887" s="1" t="str">
        <f t="shared" si="41"/>
        <v/>
      </c>
    </row>
    <row r="888" spans="1:19" x14ac:dyDescent="0.25">
      <c r="A888" s="2"/>
      <c r="F888" s="28"/>
      <c r="H888" s="1" t="str">
        <f t="shared" ca="1" si="39"/>
        <v/>
      </c>
      <c r="M888" s="2"/>
      <c r="N888" s="1" t="str">
        <f t="shared" si="40"/>
        <v/>
      </c>
      <c r="O888" s="2"/>
      <c r="P888" s="2"/>
      <c r="Q888" s="2"/>
      <c r="R888" s="2"/>
      <c r="S888" s="1" t="str">
        <f t="shared" si="41"/>
        <v/>
      </c>
    </row>
    <row r="889" spans="1:19" x14ac:dyDescent="0.25">
      <c r="A889" s="2"/>
      <c r="F889" s="28"/>
      <c r="H889" s="1" t="str">
        <f t="shared" ca="1" si="39"/>
        <v/>
      </c>
      <c r="M889" s="2"/>
      <c r="N889" s="1" t="str">
        <f t="shared" si="40"/>
        <v/>
      </c>
      <c r="O889" s="2"/>
      <c r="P889" s="2"/>
      <c r="Q889" s="2"/>
      <c r="R889" s="2"/>
      <c r="S889" s="1" t="str">
        <f t="shared" si="41"/>
        <v/>
      </c>
    </row>
    <row r="890" spans="1:19" x14ac:dyDescent="0.25">
      <c r="A890" s="2"/>
      <c r="F890" s="28"/>
      <c r="H890" s="1" t="str">
        <f t="shared" ca="1" si="39"/>
        <v/>
      </c>
      <c r="M890" s="2"/>
      <c r="N890" s="1" t="str">
        <f t="shared" si="40"/>
        <v/>
      </c>
      <c r="O890" s="2"/>
      <c r="P890" s="2"/>
      <c r="Q890" s="2"/>
      <c r="R890" s="2"/>
      <c r="S890" s="1" t="str">
        <f t="shared" si="41"/>
        <v/>
      </c>
    </row>
    <row r="891" spans="1:19" x14ac:dyDescent="0.25">
      <c r="A891" s="2"/>
      <c r="F891" s="28"/>
      <c r="H891" s="1" t="str">
        <f t="shared" ca="1" si="39"/>
        <v/>
      </c>
      <c r="M891" s="2"/>
      <c r="N891" s="1" t="str">
        <f t="shared" si="40"/>
        <v/>
      </c>
      <c r="O891" s="2"/>
      <c r="P891" s="2"/>
      <c r="Q891" s="2"/>
      <c r="R891" s="2"/>
      <c r="S891" s="1" t="str">
        <f t="shared" si="41"/>
        <v/>
      </c>
    </row>
    <row r="892" spans="1:19" x14ac:dyDescent="0.25">
      <c r="A892" s="2"/>
      <c r="F892" s="28"/>
      <c r="H892" s="1" t="str">
        <f t="shared" ref="H892:H955" ca="1" si="42">IF(A892="","",IF(ISNUMBER(M892),M892-A892,TODAY()-A892))</f>
        <v/>
      </c>
      <c r="M892" s="2"/>
      <c r="N892" s="1" t="str">
        <f t="shared" ref="N892:N955" si="43">IF(M892="","",IF(ISNUMBER(M892),"Closed","Open"))</f>
        <v/>
      </c>
      <c r="O892" s="2"/>
      <c r="P892" s="2"/>
      <c r="Q892" s="2"/>
      <c r="R892" s="2"/>
      <c r="S892" s="1" t="str">
        <f t="shared" ref="S892:S955" si="44">IF(Q892="","",R892-Q892)</f>
        <v/>
      </c>
    </row>
    <row r="893" spans="1:19" x14ac:dyDescent="0.25">
      <c r="A893" s="2"/>
      <c r="F893" s="28"/>
      <c r="H893" s="1" t="str">
        <f t="shared" ca="1" si="42"/>
        <v/>
      </c>
      <c r="M893" s="2"/>
      <c r="N893" s="1" t="str">
        <f t="shared" si="43"/>
        <v/>
      </c>
      <c r="O893" s="2"/>
      <c r="P893" s="2"/>
      <c r="Q893" s="2"/>
      <c r="R893" s="2"/>
      <c r="S893" s="1" t="str">
        <f t="shared" si="44"/>
        <v/>
      </c>
    </row>
    <row r="894" spans="1:19" x14ac:dyDescent="0.25">
      <c r="A894" s="2"/>
      <c r="F894" s="28"/>
      <c r="H894" s="1" t="str">
        <f t="shared" ca="1" si="42"/>
        <v/>
      </c>
      <c r="M894" s="2"/>
      <c r="N894" s="1" t="str">
        <f t="shared" si="43"/>
        <v/>
      </c>
      <c r="O894" s="2"/>
      <c r="P894" s="2"/>
      <c r="Q894" s="2"/>
      <c r="R894" s="2"/>
      <c r="S894" s="1" t="str">
        <f t="shared" si="44"/>
        <v/>
      </c>
    </row>
    <row r="895" spans="1:19" x14ac:dyDescent="0.25">
      <c r="A895" s="2"/>
      <c r="F895" s="28"/>
      <c r="H895" s="1" t="str">
        <f t="shared" ca="1" si="42"/>
        <v/>
      </c>
      <c r="M895" s="2"/>
      <c r="N895" s="1" t="str">
        <f t="shared" si="43"/>
        <v/>
      </c>
      <c r="O895" s="2"/>
      <c r="P895" s="2"/>
      <c r="Q895" s="2"/>
      <c r="R895" s="2"/>
      <c r="S895" s="1" t="str">
        <f t="shared" si="44"/>
        <v/>
      </c>
    </row>
    <row r="896" spans="1:19" x14ac:dyDescent="0.25">
      <c r="A896" s="2"/>
      <c r="F896" s="28"/>
      <c r="H896" s="1" t="str">
        <f t="shared" ca="1" si="42"/>
        <v/>
      </c>
      <c r="M896" s="2"/>
      <c r="N896" s="1" t="str">
        <f t="shared" si="43"/>
        <v/>
      </c>
      <c r="O896" s="2"/>
      <c r="P896" s="2"/>
      <c r="Q896" s="2"/>
      <c r="R896" s="2"/>
      <c r="S896" s="1" t="str">
        <f t="shared" si="44"/>
        <v/>
      </c>
    </row>
    <row r="897" spans="1:19" x14ac:dyDescent="0.25">
      <c r="A897" s="2"/>
      <c r="F897" s="28"/>
      <c r="H897" s="1" t="str">
        <f t="shared" ca="1" si="42"/>
        <v/>
      </c>
      <c r="M897" s="2"/>
      <c r="N897" s="1" t="str">
        <f t="shared" si="43"/>
        <v/>
      </c>
      <c r="O897" s="2"/>
      <c r="P897" s="2"/>
      <c r="Q897" s="2"/>
      <c r="R897" s="2"/>
      <c r="S897" s="1" t="str">
        <f t="shared" si="44"/>
        <v/>
      </c>
    </row>
    <row r="898" spans="1:19" x14ac:dyDescent="0.25">
      <c r="A898" s="2"/>
      <c r="F898" s="28"/>
      <c r="H898" s="1" t="str">
        <f t="shared" ca="1" si="42"/>
        <v/>
      </c>
      <c r="M898" s="2"/>
      <c r="N898" s="1" t="str">
        <f t="shared" si="43"/>
        <v/>
      </c>
      <c r="O898" s="2"/>
      <c r="P898" s="2"/>
      <c r="Q898" s="2"/>
      <c r="R898" s="2"/>
      <c r="S898" s="1" t="str">
        <f t="shared" si="44"/>
        <v/>
      </c>
    </row>
    <row r="899" spans="1:19" x14ac:dyDescent="0.25">
      <c r="A899" s="2"/>
      <c r="F899" s="28"/>
      <c r="H899" s="1" t="str">
        <f t="shared" ca="1" si="42"/>
        <v/>
      </c>
      <c r="M899" s="2"/>
      <c r="N899" s="1" t="str">
        <f t="shared" si="43"/>
        <v/>
      </c>
      <c r="O899" s="2"/>
      <c r="P899" s="2"/>
      <c r="Q899" s="2"/>
      <c r="R899" s="2"/>
      <c r="S899" s="1" t="str">
        <f t="shared" si="44"/>
        <v/>
      </c>
    </row>
    <row r="900" spans="1:19" x14ac:dyDescent="0.25">
      <c r="A900" s="2"/>
      <c r="F900" s="28"/>
      <c r="H900" s="1" t="str">
        <f t="shared" ca="1" si="42"/>
        <v/>
      </c>
      <c r="M900" s="2"/>
      <c r="N900" s="1" t="str">
        <f t="shared" si="43"/>
        <v/>
      </c>
      <c r="O900" s="2"/>
      <c r="P900" s="2"/>
      <c r="Q900" s="2"/>
      <c r="R900" s="2"/>
      <c r="S900" s="1" t="str">
        <f t="shared" si="44"/>
        <v/>
      </c>
    </row>
    <row r="901" spans="1:19" x14ac:dyDescent="0.25">
      <c r="A901" s="2"/>
      <c r="F901" s="28"/>
      <c r="H901" s="1" t="str">
        <f t="shared" ca="1" si="42"/>
        <v/>
      </c>
      <c r="M901" s="2"/>
      <c r="N901" s="1" t="str">
        <f t="shared" si="43"/>
        <v/>
      </c>
      <c r="O901" s="2"/>
      <c r="P901" s="2"/>
      <c r="Q901" s="2"/>
      <c r="R901" s="2"/>
      <c r="S901" s="1" t="str">
        <f t="shared" si="44"/>
        <v/>
      </c>
    </row>
    <row r="902" spans="1:19" x14ac:dyDescent="0.25">
      <c r="A902" s="2"/>
      <c r="F902" s="28"/>
      <c r="H902" s="1" t="str">
        <f t="shared" ca="1" si="42"/>
        <v/>
      </c>
      <c r="M902" s="2"/>
      <c r="N902" s="1" t="str">
        <f t="shared" si="43"/>
        <v/>
      </c>
      <c r="O902" s="2"/>
      <c r="P902" s="2"/>
      <c r="Q902" s="2"/>
      <c r="R902" s="2"/>
      <c r="S902" s="1" t="str">
        <f t="shared" si="44"/>
        <v/>
      </c>
    </row>
    <row r="903" spans="1:19" x14ac:dyDescent="0.25">
      <c r="A903" s="2"/>
      <c r="F903" s="28"/>
      <c r="H903" s="1" t="str">
        <f t="shared" ca="1" si="42"/>
        <v/>
      </c>
      <c r="M903" s="2"/>
      <c r="N903" s="1" t="str">
        <f t="shared" si="43"/>
        <v/>
      </c>
      <c r="O903" s="2"/>
      <c r="P903" s="2"/>
      <c r="Q903" s="2"/>
      <c r="R903" s="2"/>
      <c r="S903" s="1" t="str">
        <f t="shared" si="44"/>
        <v/>
      </c>
    </row>
    <row r="904" spans="1:19" x14ac:dyDescent="0.25">
      <c r="A904" s="2"/>
      <c r="F904" s="28"/>
      <c r="H904" s="1" t="str">
        <f t="shared" ca="1" si="42"/>
        <v/>
      </c>
      <c r="M904" s="2"/>
      <c r="N904" s="1" t="str">
        <f t="shared" si="43"/>
        <v/>
      </c>
      <c r="O904" s="2"/>
      <c r="P904" s="2"/>
      <c r="Q904" s="2"/>
      <c r="R904" s="2"/>
      <c r="S904" s="1" t="str">
        <f t="shared" si="44"/>
        <v/>
      </c>
    </row>
    <row r="905" spans="1:19" x14ac:dyDescent="0.25">
      <c r="A905" s="2"/>
      <c r="F905" s="28"/>
      <c r="H905" s="1" t="str">
        <f t="shared" ca="1" si="42"/>
        <v/>
      </c>
      <c r="M905" s="2"/>
      <c r="N905" s="1" t="str">
        <f t="shared" si="43"/>
        <v/>
      </c>
      <c r="O905" s="2"/>
      <c r="P905" s="2"/>
      <c r="Q905" s="2"/>
      <c r="R905" s="2"/>
      <c r="S905" s="1" t="str">
        <f t="shared" si="44"/>
        <v/>
      </c>
    </row>
    <row r="906" spans="1:19" x14ac:dyDescent="0.25">
      <c r="A906" s="2"/>
      <c r="F906" s="28"/>
      <c r="H906" s="1" t="str">
        <f t="shared" ca="1" si="42"/>
        <v/>
      </c>
      <c r="M906" s="2"/>
      <c r="N906" s="1" t="str">
        <f t="shared" si="43"/>
        <v/>
      </c>
      <c r="O906" s="2"/>
      <c r="P906" s="2"/>
      <c r="Q906" s="2"/>
      <c r="R906" s="2"/>
      <c r="S906" s="1" t="str">
        <f t="shared" si="44"/>
        <v/>
      </c>
    </row>
    <row r="907" spans="1:19" x14ac:dyDescent="0.25">
      <c r="A907" s="2"/>
      <c r="F907" s="28"/>
      <c r="H907" s="1" t="str">
        <f t="shared" ca="1" si="42"/>
        <v/>
      </c>
      <c r="M907" s="2"/>
      <c r="N907" s="1" t="str">
        <f t="shared" si="43"/>
        <v/>
      </c>
      <c r="O907" s="2"/>
      <c r="P907" s="2"/>
      <c r="Q907" s="2"/>
      <c r="R907" s="2"/>
      <c r="S907" s="1" t="str">
        <f t="shared" si="44"/>
        <v/>
      </c>
    </row>
    <row r="908" spans="1:19" x14ac:dyDescent="0.25">
      <c r="A908" s="2"/>
      <c r="F908" s="28"/>
      <c r="H908" s="1" t="str">
        <f t="shared" ca="1" si="42"/>
        <v/>
      </c>
      <c r="M908" s="2"/>
      <c r="N908" s="1" t="str">
        <f t="shared" si="43"/>
        <v/>
      </c>
      <c r="O908" s="2"/>
      <c r="P908" s="2"/>
      <c r="Q908" s="2"/>
      <c r="R908" s="2"/>
      <c r="S908" s="1" t="str">
        <f t="shared" si="44"/>
        <v/>
      </c>
    </row>
    <row r="909" spans="1:19" x14ac:dyDescent="0.25">
      <c r="A909" s="2"/>
      <c r="F909" s="28"/>
      <c r="H909" s="1" t="str">
        <f t="shared" ca="1" si="42"/>
        <v/>
      </c>
      <c r="M909" s="2"/>
      <c r="N909" s="1" t="str">
        <f t="shared" si="43"/>
        <v/>
      </c>
      <c r="O909" s="2"/>
      <c r="P909" s="2"/>
      <c r="Q909" s="2"/>
      <c r="R909" s="2"/>
      <c r="S909" s="1" t="str">
        <f t="shared" si="44"/>
        <v/>
      </c>
    </row>
    <row r="910" spans="1:19" x14ac:dyDescent="0.25">
      <c r="A910" s="2"/>
      <c r="F910" s="28"/>
      <c r="H910" s="1" t="str">
        <f t="shared" ca="1" si="42"/>
        <v/>
      </c>
      <c r="M910" s="2"/>
      <c r="N910" s="1" t="str">
        <f t="shared" si="43"/>
        <v/>
      </c>
      <c r="O910" s="2"/>
      <c r="P910" s="2"/>
      <c r="Q910" s="2"/>
      <c r="R910" s="2"/>
      <c r="S910" s="1" t="str">
        <f t="shared" si="44"/>
        <v/>
      </c>
    </row>
    <row r="911" spans="1:19" x14ac:dyDescent="0.25">
      <c r="A911" s="2"/>
      <c r="F911" s="28"/>
      <c r="H911" s="1" t="str">
        <f t="shared" ca="1" si="42"/>
        <v/>
      </c>
      <c r="M911" s="2"/>
      <c r="N911" s="1" t="str">
        <f t="shared" si="43"/>
        <v/>
      </c>
      <c r="O911" s="2"/>
      <c r="P911" s="2"/>
      <c r="Q911" s="2"/>
      <c r="R911" s="2"/>
      <c r="S911" s="1" t="str">
        <f t="shared" si="44"/>
        <v/>
      </c>
    </row>
    <row r="912" spans="1:19" x14ac:dyDescent="0.25">
      <c r="A912" s="2"/>
      <c r="F912" s="28"/>
      <c r="H912" s="1" t="str">
        <f t="shared" ca="1" si="42"/>
        <v/>
      </c>
      <c r="M912" s="2"/>
      <c r="N912" s="1" t="str">
        <f t="shared" si="43"/>
        <v/>
      </c>
      <c r="O912" s="2"/>
      <c r="P912" s="2"/>
      <c r="Q912" s="2"/>
      <c r="R912" s="2"/>
      <c r="S912" s="1" t="str">
        <f t="shared" si="44"/>
        <v/>
      </c>
    </row>
    <row r="913" spans="1:19" x14ac:dyDescent="0.25">
      <c r="A913" s="2"/>
      <c r="F913" s="28"/>
      <c r="H913" s="1" t="str">
        <f t="shared" ca="1" si="42"/>
        <v/>
      </c>
      <c r="M913" s="2"/>
      <c r="N913" s="1" t="str">
        <f t="shared" si="43"/>
        <v/>
      </c>
      <c r="O913" s="2"/>
      <c r="P913" s="2"/>
      <c r="Q913" s="2"/>
      <c r="R913" s="2"/>
      <c r="S913" s="1" t="str">
        <f t="shared" si="44"/>
        <v/>
      </c>
    </row>
    <row r="914" spans="1:19" x14ac:dyDescent="0.25">
      <c r="A914" s="2"/>
      <c r="F914" s="28"/>
      <c r="H914" s="1" t="str">
        <f t="shared" ca="1" si="42"/>
        <v/>
      </c>
      <c r="M914" s="2"/>
      <c r="N914" s="1" t="str">
        <f t="shared" si="43"/>
        <v/>
      </c>
      <c r="O914" s="2"/>
      <c r="P914" s="2"/>
      <c r="Q914" s="2"/>
      <c r="R914" s="2"/>
      <c r="S914" s="1" t="str">
        <f t="shared" si="44"/>
        <v/>
      </c>
    </row>
    <row r="915" spans="1:19" x14ac:dyDescent="0.25">
      <c r="A915" s="2"/>
      <c r="F915" s="28"/>
      <c r="H915" s="1" t="str">
        <f t="shared" ca="1" si="42"/>
        <v/>
      </c>
      <c r="M915" s="2"/>
      <c r="N915" s="1" t="str">
        <f t="shared" si="43"/>
        <v/>
      </c>
      <c r="O915" s="2"/>
      <c r="P915" s="2"/>
      <c r="Q915" s="2"/>
      <c r="R915" s="2"/>
      <c r="S915" s="1" t="str">
        <f t="shared" si="44"/>
        <v/>
      </c>
    </row>
    <row r="916" spans="1:19" x14ac:dyDescent="0.25">
      <c r="A916" s="2"/>
      <c r="F916" s="28"/>
      <c r="H916" s="1" t="str">
        <f t="shared" ca="1" si="42"/>
        <v/>
      </c>
      <c r="M916" s="2"/>
      <c r="N916" s="1" t="str">
        <f t="shared" si="43"/>
        <v/>
      </c>
      <c r="O916" s="2"/>
      <c r="P916" s="2"/>
      <c r="Q916" s="2"/>
      <c r="R916" s="2"/>
      <c r="S916" s="1" t="str">
        <f t="shared" si="44"/>
        <v/>
      </c>
    </row>
    <row r="917" spans="1:19" x14ac:dyDescent="0.25">
      <c r="A917" s="2"/>
      <c r="F917" s="28"/>
      <c r="H917" s="1" t="str">
        <f t="shared" ca="1" si="42"/>
        <v/>
      </c>
      <c r="M917" s="2"/>
      <c r="N917" s="1" t="str">
        <f t="shared" si="43"/>
        <v/>
      </c>
      <c r="O917" s="2"/>
      <c r="P917" s="2"/>
      <c r="Q917" s="2"/>
      <c r="R917" s="2"/>
      <c r="S917" s="1" t="str">
        <f t="shared" si="44"/>
        <v/>
      </c>
    </row>
    <row r="918" spans="1:19" x14ac:dyDescent="0.25">
      <c r="A918" s="2"/>
      <c r="F918" s="28"/>
      <c r="H918" s="1" t="str">
        <f t="shared" ca="1" si="42"/>
        <v/>
      </c>
      <c r="M918" s="2"/>
      <c r="N918" s="1" t="str">
        <f t="shared" si="43"/>
        <v/>
      </c>
      <c r="O918" s="2"/>
      <c r="P918" s="2"/>
      <c r="Q918" s="2"/>
      <c r="R918" s="2"/>
      <c r="S918" s="1" t="str">
        <f t="shared" si="44"/>
        <v/>
      </c>
    </row>
    <row r="919" spans="1:19" x14ac:dyDescent="0.25">
      <c r="A919" s="2"/>
      <c r="F919" s="28"/>
      <c r="H919" s="1" t="str">
        <f t="shared" ca="1" si="42"/>
        <v/>
      </c>
      <c r="M919" s="2"/>
      <c r="N919" s="1" t="str">
        <f t="shared" si="43"/>
        <v/>
      </c>
      <c r="O919" s="2"/>
      <c r="P919" s="2"/>
      <c r="Q919" s="2"/>
      <c r="R919" s="2"/>
      <c r="S919" s="1" t="str">
        <f t="shared" si="44"/>
        <v/>
      </c>
    </row>
    <row r="920" spans="1:19" x14ac:dyDescent="0.25">
      <c r="A920" s="2"/>
      <c r="F920" s="28"/>
      <c r="H920" s="1" t="str">
        <f t="shared" ca="1" si="42"/>
        <v/>
      </c>
      <c r="M920" s="2"/>
      <c r="N920" s="1" t="str">
        <f t="shared" si="43"/>
        <v/>
      </c>
      <c r="O920" s="2"/>
      <c r="P920" s="2"/>
      <c r="Q920" s="2"/>
      <c r="R920" s="2"/>
      <c r="S920" s="1" t="str">
        <f t="shared" si="44"/>
        <v/>
      </c>
    </row>
    <row r="921" spans="1:19" x14ac:dyDescent="0.25">
      <c r="A921" s="2"/>
      <c r="F921" s="28"/>
      <c r="H921" s="1" t="str">
        <f t="shared" ca="1" si="42"/>
        <v/>
      </c>
      <c r="M921" s="2"/>
      <c r="N921" s="1" t="str">
        <f t="shared" si="43"/>
        <v/>
      </c>
      <c r="O921" s="2"/>
      <c r="P921" s="2"/>
      <c r="Q921" s="2"/>
      <c r="R921" s="2"/>
      <c r="S921" s="1" t="str">
        <f t="shared" si="44"/>
        <v/>
      </c>
    </row>
    <row r="922" spans="1:19" x14ac:dyDescent="0.25">
      <c r="A922" s="2"/>
      <c r="F922" s="28"/>
      <c r="H922" s="1" t="str">
        <f t="shared" ca="1" si="42"/>
        <v/>
      </c>
      <c r="M922" s="2"/>
      <c r="N922" s="1" t="str">
        <f t="shared" si="43"/>
        <v/>
      </c>
      <c r="O922" s="2"/>
      <c r="P922" s="2"/>
      <c r="Q922" s="2"/>
      <c r="R922" s="2"/>
      <c r="S922" s="1" t="str">
        <f t="shared" si="44"/>
        <v/>
      </c>
    </row>
    <row r="923" spans="1:19" x14ac:dyDescent="0.25">
      <c r="A923" s="2"/>
      <c r="F923" s="28"/>
      <c r="H923" s="1" t="str">
        <f t="shared" ca="1" si="42"/>
        <v/>
      </c>
      <c r="M923" s="2"/>
      <c r="N923" s="1" t="str">
        <f t="shared" si="43"/>
        <v/>
      </c>
      <c r="O923" s="2"/>
      <c r="P923" s="2"/>
      <c r="Q923" s="2"/>
      <c r="R923" s="2"/>
      <c r="S923" s="1" t="str">
        <f t="shared" si="44"/>
        <v/>
      </c>
    </row>
    <row r="924" spans="1:19" x14ac:dyDescent="0.25">
      <c r="A924" s="2"/>
      <c r="F924" s="28"/>
      <c r="H924" s="1" t="str">
        <f t="shared" ca="1" si="42"/>
        <v/>
      </c>
      <c r="M924" s="2"/>
      <c r="N924" s="1" t="str">
        <f t="shared" si="43"/>
        <v/>
      </c>
      <c r="O924" s="2"/>
      <c r="P924" s="2"/>
      <c r="Q924" s="2"/>
      <c r="R924" s="2"/>
      <c r="S924" s="1" t="str">
        <f t="shared" si="44"/>
        <v/>
      </c>
    </row>
    <row r="925" spans="1:19" x14ac:dyDescent="0.25">
      <c r="A925" s="2"/>
      <c r="F925" s="28"/>
      <c r="H925" s="1" t="str">
        <f t="shared" ca="1" si="42"/>
        <v/>
      </c>
      <c r="M925" s="2"/>
      <c r="N925" s="1" t="str">
        <f t="shared" si="43"/>
        <v/>
      </c>
      <c r="O925" s="2"/>
      <c r="P925" s="2"/>
      <c r="Q925" s="2"/>
      <c r="R925" s="2"/>
      <c r="S925" s="1" t="str">
        <f t="shared" si="44"/>
        <v/>
      </c>
    </row>
    <row r="926" spans="1:19" x14ac:dyDescent="0.25">
      <c r="A926" s="2"/>
      <c r="F926" s="28"/>
      <c r="H926" s="1" t="str">
        <f t="shared" ca="1" si="42"/>
        <v/>
      </c>
      <c r="M926" s="2"/>
      <c r="N926" s="1" t="str">
        <f t="shared" si="43"/>
        <v/>
      </c>
      <c r="O926" s="2"/>
      <c r="P926" s="2"/>
      <c r="Q926" s="2"/>
      <c r="R926" s="2"/>
      <c r="S926" s="1" t="str">
        <f t="shared" si="44"/>
        <v/>
      </c>
    </row>
    <row r="927" spans="1:19" x14ac:dyDescent="0.25">
      <c r="A927" s="2"/>
      <c r="F927" s="28"/>
      <c r="H927" s="1" t="str">
        <f t="shared" ca="1" si="42"/>
        <v/>
      </c>
      <c r="M927" s="2"/>
      <c r="N927" s="1" t="str">
        <f t="shared" si="43"/>
        <v/>
      </c>
      <c r="O927" s="2"/>
      <c r="P927" s="2"/>
      <c r="Q927" s="2"/>
      <c r="R927" s="2"/>
      <c r="S927" s="1" t="str">
        <f t="shared" si="44"/>
        <v/>
      </c>
    </row>
    <row r="928" spans="1:19" x14ac:dyDescent="0.25">
      <c r="A928" s="2"/>
      <c r="F928" s="28"/>
      <c r="H928" s="1" t="str">
        <f t="shared" ca="1" si="42"/>
        <v/>
      </c>
      <c r="M928" s="2"/>
      <c r="N928" s="1" t="str">
        <f t="shared" si="43"/>
        <v/>
      </c>
      <c r="O928" s="2"/>
      <c r="P928" s="2"/>
      <c r="Q928" s="2"/>
      <c r="R928" s="2"/>
      <c r="S928" s="1" t="str">
        <f t="shared" si="44"/>
        <v/>
      </c>
    </row>
    <row r="929" spans="1:19" x14ac:dyDescent="0.25">
      <c r="A929" s="2"/>
      <c r="F929" s="28"/>
      <c r="H929" s="1" t="str">
        <f t="shared" ca="1" si="42"/>
        <v/>
      </c>
      <c r="M929" s="2"/>
      <c r="N929" s="1" t="str">
        <f t="shared" si="43"/>
        <v/>
      </c>
      <c r="O929" s="2"/>
      <c r="P929" s="2"/>
      <c r="Q929" s="2"/>
      <c r="R929" s="2"/>
      <c r="S929" s="1" t="str">
        <f t="shared" si="44"/>
        <v/>
      </c>
    </row>
    <row r="930" spans="1:19" x14ac:dyDescent="0.25">
      <c r="A930" s="2"/>
      <c r="F930" s="28"/>
      <c r="H930" s="1" t="str">
        <f t="shared" ca="1" si="42"/>
        <v/>
      </c>
      <c r="M930" s="2"/>
      <c r="N930" s="1" t="str">
        <f t="shared" si="43"/>
        <v/>
      </c>
      <c r="O930" s="2"/>
      <c r="P930" s="2"/>
      <c r="Q930" s="2"/>
      <c r="R930" s="2"/>
      <c r="S930" s="1" t="str">
        <f t="shared" si="44"/>
        <v/>
      </c>
    </row>
    <row r="931" spans="1:19" x14ac:dyDescent="0.25">
      <c r="A931" s="2"/>
      <c r="F931" s="28"/>
      <c r="H931" s="1" t="str">
        <f t="shared" ca="1" si="42"/>
        <v/>
      </c>
      <c r="M931" s="2"/>
      <c r="N931" s="1" t="str">
        <f t="shared" si="43"/>
        <v/>
      </c>
      <c r="O931" s="2"/>
      <c r="P931" s="2"/>
      <c r="Q931" s="2"/>
      <c r="R931" s="2"/>
      <c r="S931" s="1" t="str">
        <f t="shared" si="44"/>
        <v/>
      </c>
    </row>
    <row r="932" spans="1:19" x14ac:dyDescent="0.25">
      <c r="A932" s="2"/>
      <c r="F932" s="28"/>
      <c r="H932" s="1" t="str">
        <f t="shared" ca="1" si="42"/>
        <v/>
      </c>
      <c r="M932" s="2"/>
      <c r="N932" s="1" t="str">
        <f t="shared" si="43"/>
        <v/>
      </c>
      <c r="O932" s="2"/>
      <c r="P932" s="2"/>
      <c r="Q932" s="2"/>
      <c r="R932" s="2"/>
      <c r="S932" s="1" t="str">
        <f t="shared" si="44"/>
        <v/>
      </c>
    </row>
    <row r="933" spans="1:19" x14ac:dyDescent="0.25">
      <c r="A933" s="2"/>
      <c r="F933" s="28"/>
      <c r="H933" s="1" t="str">
        <f t="shared" ca="1" si="42"/>
        <v/>
      </c>
      <c r="M933" s="2"/>
      <c r="N933" s="1" t="str">
        <f t="shared" si="43"/>
        <v/>
      </c>
      <c r="O933" s="2"/>
      <c r="P933" s="2"/>
      <c r="Q933" s="2"/>
      <c r="R933" s="2"/>
      <c r="S933" s="1" t="str">
        <f t="shared" si="44"/>
        <v/>
      </c>
    </row>
    <row r="934" spans="1:19" x14ac:dyDescent="0.25">
      <c r="A934" s="2"/>
      <c r="F934" s="28"/>
      <c r="H934" s="1" t="str">
        <f t="shared" ca="1" si="42"/>
        <v/>
      </c>
      <c r="M934" s="2"/>
      <c r="N934" s="1" t="str">
        <f t="shared" si="43"/>
        <v/>
      </c>
      <c r="O934" s="2"/>
      <c r="P934" s="2"/>
      <c r="Q934" s="2"/>
      <c r="R934" s="2"/>
      <c r="S934" s="1" t="str">
        <f t="shared" si="44"/>
        <v/>
      </c>
    </row>
    <row r="935" spans="1:19" x14ac:dyDescent="0.25">
      <c r="A935" s="2"/>
      <c r="F935" s="28"/>
      <c r="H935" s="1" t="str">
        <f t="shared" ca="1" si="42"/>
        <v/>
      </c>
      <c r="M935" s="2"/>
      <c r="N935" s="1" t="str">
        <f t="shared" si="43"/>
        <v/>
      </c>
      <c r="O935" s="2"/>
      <c r="P935" s="2"/>
      <c r="Q935" s="2"/>
      <c r="R935" s="2"/>
      <c r="S935" s="1" t="str">
        <f t="shared" si="44"/>
        <v/>
      </c>
    </row>
    <row r="936" spans="1:19" x14ac:dyDescent="0.25">
      <c r="A936" s="2"/>
      <c r="F936" s="28"/>
      <c r="H936" s="1" t="str">
        <f t="shared" ca="1" si="42"/>
        <v/>
      </c>
      <c r="M936" s="2"/>
      <c r="N936" s="1" t="str">
        <f t="shared" si="43"/>
        <v/>
      </c>
      <c r="O936" s="2"/>
      <c r="P936" s="2"/>
      <c r="Q936" s="2"/>
      <c r="R936" s="2"/>
      <c r="S936" s="1" t="str">
        <f t="shared" si="44"/>
        <v/>
      </c>
    </row>
    <row r="937" spans="1:19" x14ac:dyDescent="0.25">
      <c r="A937" s="2"/>
      <c r="F937" s="28"/>
      <c r="H937" s="1" t="str">
        <f t="shared" ca="1" si="42"/>
        <v/>
      </c>
      <c r="M937" s="2"/>
      <c r="N937" s="1" t="str">
        <f t="shared" si="43"/>
        <v/>
      </c>
      <c r="O937" s="2"/>
      <c r="P937" s="2"/>
      <c r="Q937" s="2"/>
      <c r="R937" s="2"/>
      <c r="S937" s="1" t="str">
        <f t="shared" si="44"/>
        <v/>
      </c>
    </row>
    <row r="938" spans="1:19" x14ac:dyDescent="0.25">
      <c r="A938" s="2"/>
      <c r="F938" s="28"/>
      <c r="H938" s="1" t="str">
        <f t="shared" ca="1" si="42"/>
        <v/>
      </c>
      <c r="M938" s="2"/>
      <c r="N938" s="1" t="str">
        <f t="shared" si="43"/>
        <v/>
      </c>
      <c r="O938" s="2"/>
      <c r="P938" s="2"/>
      <c r="Q938" s="2"/>
      <c r="R938" s="2"/>
      <c r="S938" s="1" t="str">
        <f t="shared" si="44"/>
        <v/>
      </c>
    </row>
    <row r="939" spans="1:19" x14ac:dyDescent="0.25">
      <c r="A939" s="2"/>
      <c r="F939" s="28"/>
      <c r="H939" s="1" t="str">
        <f t="shared" ca="1" si="42"/>
        <v/>
      </c>
      <c r="M939" s="2"/>
      <c r="N939" s="1" t="str">
        <f t="shared" si="43"/>
        <v/>
      </c>
      <c r="O939" s="2"/>
      <c r="P939" s="2"/>
      <c r="Q939" s="2"/>
      <c r="R939" s="2"/>
      <c r="S939" s="1" t="str">
        <f t="shared" si="44"/>
        <v/>
      </c>
    </row>
    <row r="940" spans="1:19" x14ac:dyDescent="0.25">
      <c r="A940" s="2"/>
      <c r="F940" s="28"/>
      <c r="H940" s="1" t="str">
        <f t="shared" ca="1" si="42"/>
        <v/>
      </c>
      <c r="M940" s="2"/>
      <c r="N940" s="1" t="str">
        <f t="shared" si="43"/>
        <v/>
      </c>
      <c r="O940" s="2"/>
      <c r="P940" s="2"/>
      <c r="Q940" s="2"/>
      <c r="R940" s="2"/>
      <c r="S940" s="1" t="str">
        <f t="shared" si="44"/>
        <v/>
      </c>
    </row>
    <row r="941" spans="1:19" x14ac:dyDescent="0.25">
      <c r="A941" s="2"/>
      <c r="F941" s="28"/>
      <c r="H941" s="1" t="str">
        <f t="shared" ca="1" si="42"/>
        <v/>
      </c>
      <c r="M941" s="2"/>
      <c r="N941" s="1" t="str">
        <f t="shared" si="43"/>
        <v/>
      </c>
      <c r="O941" s="2"/>
      <c r="P941" s="2"/>
      <c r="Q941" s="2"/>
      <c r="R941" s="2"/>
      <c r="S941" s="1" t="str">
        <f t="shared" si="44"/>
        <v/>
      </c>
    </row>
    <row r="942" spans="1:19" x14ac:dyDescent="0.25">
      <c r="A942" s="2"/>
      <c r="F942" s="28"/>
      <c r="H942" s="1" t="str">
        <f t="shared" ca="1" si="42"/>
        <v/>
      </c>
      <c r="M942" s="2"/>
      <c r="N942" s="1" t="str">
        <f t="shared" si="43"/>
        <v/>
      </c>
      <c r="O942" s="2"/>
      <c r="P942" s="2"/>
      <c r="Q942" s="2"/>
      <c r="R942" s="2"/>
      <c r="S942" s="1" t="str">
        <f t="shared" si="44"/>
        <v/>
      </c>
    </row>
    <row r="943" spans="1:19" x14ac:dyDescent="0.25">
      <c r="A943" s="2"/>
      <c r="F943" s="28"/>
      <c r="H943" s="1" t="str">
        <f t="shared" ca="1" si="42"/>
        <v/>
      </c>
      <c r="M943" s="2"/>
      <c r="N943" s="1" t="str">
        <f t="shared" si="43"/>
        <v/>
      </c>
      <c r="O943" s="2"/>
      <c r="P943" s="2"/>
      <c r="Q943" s="2"/>
      <c r="R943" s="2"/>
      <c r="S943" s="1" t="str">
        <f t="shared" si="44"/>
        <v/>
      </c>
    </row>
    <row r="944" spans="1:19" x14ac:dyDescent="0.25">
      <c r="A944" s="2"/>
      <c r="F944" s="28"/>
      <c r="H944" s="1" t="str">
        <f t="shared" ca="1" si="42"/>
        <v/>
      </c>
      <c r="M944" s="2"/>
      <c r="N944" s="1" t="str">
        <f t="shared" si="43"/>
        <v/>
      </c>
      <c r="O944" s="2"/>
      <c r="P944" s="2"/>
      <c r="Q944" s="2"/>
      <c r="R944" s="2"/>
      <c r="S944" s="1" t="str">
        <f t="shared" si="44"/>
        <v/>
      </c>
    </row>
    <row r="945" spans="1:19" x14ac:dyDescent="0.25">
      <c r="A945" s="2"/>
      <c r="F945" s="28"/>
      <c r="H945" s="1" t="str">
        <f t="shared" ca="1" si="42"/>
        <v/>
      </c>
      <c r="M945" s="2"/>
      <c r="N945" s="1" t="str">
        <f t="shared" si="43"/>
        <v/>
      </c>
      <c r="O945" s="2"/>
      <c r="P945" s="2"/>
      <c r="Q945" s="2"/>
      <c r="R945" s="2"/>
      <c r="S945" s="1" t="str">
        <f t="shared" si="44"/>
        <v/>
      </c>
    </row>
    <row r="946" spans="1:19" x14ac:dyDescent="0.25">
      <c r="A946" s="2"/>
      <c r="F946" s="28"/>
      <c r="H946" s="1" t="str">
        <f t="shared" ca="1" si="42"/>
        <v/>
      </c>
      <c r="M946" s="2"/>
      <c r="N946" s="1" t="str">
        <f t="shared" si="43"/>
        <v/>
      </c>
      <c r="O946" s="2"/>
      <c r="P946" s="2"/>
      <c r="Q946" s="2"/>
      <c r="R946" s="2"/>
      <c r="S946" s="1" t="str">
        <f t="shared" si="44"/>
        <v/>
      </c>
    </row>
    <row r="947" spans="1:19" x14ac:dyDescent="0.25">
      <c r="A947" s="2"/>
      <c r="F947" s="28"/>
      <c r="H947" s="1" t="str">
        <f t="shared" ca="1" si="42"/>
        <v/>
      </c>
      <c r="M947" s="2"/>
      <c r="N947" s="1" t="str">
        <f t="shared" si="43"/>
        <v/>
      </c>
      <c r="O947" s="2"/>
      <c r="P947" s="2"/>
      <c r="Q947" s="2"/>
      <c r="R947" s="2"/>
      <c r="S947" s="1" t="str">
        <f t="shared" si="44"/>
        <v/>
      </c>
    </row>
    <row r="948" spans="1:19" x14ac:dyDescent="0.25">
      <c r="A948" s="2"/>
      <c r="F948" s="28"/>
      <c r="H948" s="1" t="str">
        <f t="shared" ca="1" si="42"/>
        <v/>
      </c>
      <c r="M948" s="2"/>
      <c r="N948" s="1" t="str">
        <f t="shared" si="43"/>
        <v/>
      </c>
      <c r="O948" s="2"/>
      <c r="P948" s="2"/>
      <c r="Q948" s="2"/>
      <c r="R948" s="2"/>
      <c r="S948" s="1" t="str">
        <f t="shared" si="44"/>
        <v/>
      </c>
    </row>
    <row r="949" spans="1:19" x14ac:dyDescent="0.25">
      <c r="A949" s="2"/>
      <c r="F949" s="28"/>
      <c r="H949" s="1" t="str">
        <f t="shared" ca="1" si="42"/>
        <v/>
      </c>
      <c r="M949" s="2"/>
      <c r="N949" s="1" t="str">
        <f t="shared" si="43"/>
        <v/>
      </c>
      <c r="O949" s="2"/>
      <c r="P949" s="2"/>
      <c r="Q949" s="2"/>
      <c r="R949" s="2"/>
      <c r="S949" s="1" t="str">
        <f t="shared" si="44"/>
        <v/>
      </c>
    </row>
    <row r="950" spans="1:19" x14ac:dyDescent="0.25">
      <c r="A950" s="2"/>
      <c r="F950" s="28"/>
      <c r="H950" s="1" t="str">
        <f t="shared" ca="1" si="42"/>
        <v/>
      </c>
      <c r="M950" s="2"/>
      <c r="N950" s="1" t="str">
        <f t="shared" si="43"/>
        <v/>
      </c>
      <c r="O950" s="2"/>
      <c r="P950" s="2"/>
      <c r="Q950" s="2"/>
      <c r="R950" s="2"/>
      <c r="S950" s="1" t="str">
        <f t="shared" si="44"/>
        <v/>
      </c>
    </row>
    <row r="951" spans="1:19" x14ac:dyDescent="0.25">
      <c r="A951" s="2"/>
      <c r="F951" s="28"/>
      <c r="H951" s="1" t="str">
        <f t="shared" ca="1" si="42"/>
        <v/>
      </c>
      <c r="M951" s="2"/>
      <c r="N951" s="1" t="str">
        <f t="shared" si="43"/>
        <v/>
      </c>
      <c r="O951" s="2"/>
      <c r="P951" s="2"/>
      <c r="Q951" s="2"/>
      <c r="R951" s="2"/>
      <c r="S951" s="1" t="str">
        <f t="shared" si="44"/>
        <v/>
      </c>
    </row>
    <row r="952" spans="1:19" x14ac:dyDescent="0.25">
      <c r="A952" s="2"/>
      <c r="F952" s="28"/>
      <c r="H952" s="1" t="str">
        <f t="shared" ca="1" si="42"/>
        <v/>
      </c>
      <c r="M952" s="2"/>
      <c r="N952" s="1" t="str">
        <f t="shared" si="43"/>
        <v/>
      </c>
      <c r="O952" s="2"/>
      <c r="P952" s="2"/>
      <c r="Q952" s="2"/>
      <c r="R952" s="2"/>
      <c r="S952" s="1" t="str">
        <f t="shared" si="44"/>
        <v/>
      </c>
    </row>
    <row r="953" spans="1:19" x14ac:dyDescent="0.25">
      <c r="A953" s="2"/>
      <c r="F953" s="28"/>
      <c r="H953" s="1" t="str">
        <f t="shared" ca="1" si="42"/>
        <v/>
      </c>
      <c r="M953" s="2"/>
      <c r="N953" s="1" t="str">
        <f t="shared" si="43"/>
        <v/>
      </c>
      <c r="O953" s="2"/>
      <c r="P953" s="2"/>
      <c r="Q953" s="2"/>
      <c r="R953" s="2"/>
      <c r="S953" s="1" t="str">
        <f t="shared" si="44"/>
        <v/>
      </c>
    </row>
    <row r="954" spans="1:19" x14ac:dyDescent="0.25">
      <c r="A954" s="2"/>
      <c r="F954" s="28"/>
      <c r="H954" s="1" t="str">
        <f t="shared" ca="1" si="42"/>
        <v/>
      </c>
      <c r="M954" s="2"/>
      <c r="N954" s="1" t="str">
        <f t="shared" si="43"/>
        <v/>
      </c>
      <c r="O954" s="2"/>
      <c r="P954" s="2"/>
      <c r="Q954" s="2"/>
      <c r="R954" s="2"/>
      <c r="S954" s="1" t="str">
        <f t="shared" si="44"/>
        <v/>
      </c>
    </row>
    <row r="955" spans="1:19" x14ac:dyDescent="0.25">
      <c r="A955" s="2"/>
      <c r="F955" s="28"/>
      <c r="H955" s="1" t="str">
        <f t="shared" ca="1" si="42"/>
        <v/>
      </c>
      <c r="M955" s="2"/>
      <c r="N955" s="1" t="str">
        <f t="shared" si="43"/>
        <v/>
      </c>
      <c r="O955" s="2"/>
      <c r="P955" s="2"/>
      <c r="Q955" s="2"/>
      <c r="R955" s="2"/>
      <c r="S955" s="1" t="str">
        <f t="shared" si="44"/>
        <v/>
      </c>
    </row>
    <row r="956" spans="1:19" x14ac:dyDescent="0.25">
      <c r="A956" s="2"/>
      <c r="F956" s="28"/>
      <c r="H956" s="1" t="str">
        <f t="shared" ref="H956:H1019" ca="1" si="45">IF(A956="","",IF(ISNUMBER(M956),M956-A956,TODAY()-A956))</f>
        <v/>
      </c>
      <c r="M956" s="2"/>
      <c r="N956" s="1" t="str">
        <f t="shared" ref="N956:N1019" si="46">IF(M956="","",IF(ISNUMBER(M956),"Closed","Open"))</f>
        <v/>
      </c>
      <c r="O956" s="2"/>
      <c r="P956" s="2"/>
      <c r="Q956" s="2"/>
      <c r="R956" s="2"/>
      <c r="S956" s="1" t="str">
        <f t="shared" ref="S956:S1019" si="47">IF(Q956="","",R956-Q956)</f>
        <v/>
      </c>
    </row>
    <row r="957" spans="1:19" x14ac:dyDescent="0.25">
      <c r="A957" s="2"/>
      <c r="F957" s="28"/>
      <c r="H957" s="1" t="str">
        <f t="shared" ca="1" si="45"/>
        <v/>
      </c>
      <c r="M957" s="2"/>
      <c r="N957" s="1" t="str">
        <f t="shared" si="46"/>
        <v/>
      </c>
      <c r="O957" s="2"/>
      <c r="P957" s="2"/>
      <c r="Q957" s="2"/>
      <c r="R957" s="2"/>
      <c r="S957" s="1" t="str">
        <f t="shared" si="47"/>
        <v/>
      </c>
    </row>
    <row r="958" spans="1:19" x14ac:dyDescent="0.25">
      <c r="A958" s="2"/>
      <c r="F958" s="28"/>
      <c r="H958" s="1" t="str">
        <f t="shared" ca="1" si="45"/>
        <v/>
      </c>
      <c r="M958" s="2"/>
      <c r="N958" s="1" t="str">
        <f t="shared" si="46"/>
        <v/>
      </c>
      <c r="O958" s="2"/>
      <c r="P958" s="2"/>
      <c r="Q958" s="2"/>
      <c r="R958" s="2"/>
      <c r="S958" s="1" t="str">
        <f t="shared" si="47"/>
        <v/>
      </c>
    </row>
    <row r="959" spans="1:19" x14ac:dyDescent="0.25">
      <c r="A959" s="2"/>
      <c r="F959" s="28"/>
      <c r="H959" s="1" t="str">
        <f t="shared" ca="1" si="45"/>
        <v/>
      </c>
      <c r="M959" s="2"/>
      <c r="N959" s="1" t="str">
        <f t="shared" si="46"/>
        <v/>
      </c>
      <c r="O959" s="2"/>
      <c r="P959" s="2"/>
      <c r="Q959" s="2"/>
      <c r="R959" s="2"/>
      <c r="S959" s="1" t="str">
        <f t="shared" si="47"/>
        <v/>
      </c>
    </row>
    <row r="960" spans="1:19" x14ac:dyDescent="0.25">
      <c r="A960" s="2"/>
      <c r="F960" s="28"/>
      <c r="H960" s="1" t="str">
        <f t="shared" ca="1" si="45"/>
        <v/>
      </c>
      <c r="M960" s="2"/>
      <c r="N960" s="1" t="str">
        <f t="shared" si="46"/>
        <v/>
      </c>
      <c r="O960" s="2"/>
      <c r="P960" s="2"/>
      <c r="Q960" s="2"/>
      <c r="R960" s="2"/>
      <c r="S960" s="1" t="str">
        <f t="shared" si="47"/>
        <v/>
      </c>
    </row>
    <row r="961" spans="1:19" x14ac:dyDescent="0.25">
      <c r="A961" s="2"/>
      <c r="F961" s="28"/>
      <c r="H961" s="1" t="str">
        <f t="shared" ca="1" si="45"/>
        <v/>
      </c>
      <c r="M961" s="2"/>
      <c r="N961" s="1" t="str">
        <f t="shared" si="46"/>
        <v/>
      </c>
      <c r="O961" s="2"/>
      <c r="P961" s="2"/>
      <c r="Q961" s="2"/>
      <c r="R961" s="2"/>
      <c r="S961" s="1" t="str">
        <f t="shared" si="47"/>
        <v/>
      </c>
    </row>
    <row r="962" spans="1:19" x14ac:dyDescent="0.25">
      <c r="A962" s="2"/>
      <c r="F962" s="28"/>
      <c r="H962" s="1" t="str">
        <f t="shared" ca="1" si="45"/>
        <v/>
      </c>
      <c r="M962" s="2"/>
      <c r="N962" s="1" t="str">
        <f t="shared" si="46"/>
        <v/>
      </c>
      <c r="O962" s="2"/>
      <c r="P962" s="2"/>
      <c r="Q962" s="2"/>
      <c r="R962" s="2"/>
      <c r="S962" s="1" t="str">
        <f t="shared" si="47"/>
        <v/>
      </c>
    </row>
    <row r="963" spans="1:19" x14ac:dyDescent="0.25">
      <c r="A963" s="2"/>
      <c r="F963" s="28"/>
      <c r="H963" s="1" t="str">
        <f t="shared" ca="1" si="45"/>
        <v/>
      </c>
      <c r="M963" s="2"/>
      <c r="N963" s="1" t="str">
        <f t="shared" si="46"/>
        <v/>
      </c>
      <c r="O963" s="2"/>
      <c r="P963" s="2"/>
      <c r="Q963" s="2"/>
      <c r="R963" s="2"/>
      <c r="S963" s="1" t="str">
        <f t="shared" si="47"/>
        <v/>
      </c>
    </row>
    <row r="964" spans="1:19" x14ac:dyDescent="0.25">
      <c r="A964" s="2"/>
      <c r="F964" s="28"/>
      <c r="H964" s="1" t="str">
        <f t="shared" ca="1" si="45"/>
        <v/>
      </c>
      <c r="M964" s="2"/>
      <c r="N964" s="1" t="str">
        <f t="shared" si="46"/>
        <v/>
      </c>
      <c r="O964" s="2"/>
      <c r="P964" s="2"/>
      <c r="Q964" s="2"/>
      <c r="R964" s="2"/>
      <c r="S964" s="1" t="str">
        <f t="shared" si="47"/>
        <v/>
      </c>
    </row>
    <row r="965" spans="1:19" x14ac:dyDescent="0.25">
      <c r="A965" s="2"/>
      <c r="F965" s="28"/>
      <c r="H965" s="1" t="str">
        <f t="shared" ca="1" si="45"/>
        <v/>
      </c>
      <c r="M965" s="2"/>
      <c r="N965" s="1" t="str">
        <f t="shared" si="46"/>
        <v/>
      </c>
      <c r="O965" s="2"/>
      <c r="P965" s="2"/>
      <c r="Q965" s="2"/>
      <c r="R965" s="2"/>
      <c r="S965" s="1" t="str">
        <f t="shared" si="47"/>
        <v/>
      </c>
    </row>
    <row r="966" spans="1:19" x14ac:dyDescent="0.25">
      <c r="A966" s="2"/>
      <c r="F966" s="28"/>
      <c r="H966" s="1" t="str">
        <f t="shared" ca="1" si="45"/>
        <v/>
      </c>
      <c r="M966" s="2"/>
      <c r="N966" s="1" t="str">
        <f t="shared" si="46"/>
        <v/>
      </c>
      <c r="O966" s="2"/>
      <c r="P966" s="2"/>
      <c r="Q966" s="2"/>
      <c r="R966" s="2"/>
      <c r="S966" s="1" t="str">
        <f t="shared" si="47"/>
        <v/>
      </c>
    </row>
    <row r="967" spans="1:19" x14ac:dyDescent="0.25">
      <c r="A967" s="2"/>
      <c r="F967" s="28"/>
      <c r="H967" s="1" t="str">
        <f t="shared" ca="1" si="45"/>
        <v/>
      </c>
      <c r="M967" s="2"/>
      <c r="N967" s="1" t="str">
        <f t="shared" si="46"/>
        <v/>
      </c>
      <c r="O967" s="2"/>
      <c r="P967" s="2"/>
      <c r="Q967" s="2"/>
      <c r="R967" s="2"/>
      <c r="S967" s="1" t="str">
        <f t="shared" si="47"/>
        <v/>
      </c>
    </row>
    <row r="968" spans="1:19" x14ac:dyDescent="0.25">
      <c r="A968" s="2"/>
      <c r="F968" s="28"/>
      <c r="H968" s="1" t="str">
        <f t="shared" ca="1" si="45"/>
        <v/>
      </c>
      <c r="M968" s="2"/>
      <c r="N968" s="1" t="str">
        <f t="shared" si="46"/>
        <v/>
      </c>
      <c r="O968" s="2"/>
      <c r="P968" s="2"/>
      <c r="Q968" s="2"/>
      <c r="R968" s="2"/>
      <c r="S968" s="1" t="str">
        <f t="shared" si="47"/>
        <v/>
      </c>
    </row>
    <row r="969" spans="1:19" x14ac:dyDescent="0.25">
      <c r="A969" s="2"/>
      <c r="F969" s="28"/>
      <c r="H969" s="1" t="str">
        <f t="shared" ca="1" si="45"/>
        <v/>
      </c>
      <c r="M969" s="2"/>
      <c r="N969" s="1" t="str">
        <f t="shared" si="46"/>
        <v/>
      </c>
      <c r="O969" s="2"/>
      <c r="P969" s="2"/>
      <c r="Q969" s="2"/>
      <c r="R969" s="2"/>
      <c r="S969" s="1" t="str">
        <f t="shared" si="47"/>
        <v/>
      </c>
    </row>
    <row r="970" spans="1:19" x14ac:dyDescent="0.25">
      <c r="A970" s="2"/>
      <c r="F970" s="28"/>
      <c r="H970" s="1" t="str">
        <f t="shared" ca="1" si="45"/>
        <v/>
      </c>
      <c r="M970" s="2"/>
      <c r="N970" s="1" t="str">
        <f t="shared" si="46"/>
        <v/>
      </c>
      <c r="O970" s="2"/>
      <c r="P970" s="2"/>
      <c r="Q970" s="2"/>
      <c r="R970" s="2"/>
      <c r="S970" s="1" t="str">
        <f t="shared" si="47"/>
        <v/>
      </c>
    </row>
    <row r="971" spans="1:19" x14ac:dyDescent="0.25">
      <c r="A971" s="2"/>
      <c r="F971" s="28"/>
      <c r="H971" s="1" t="str">
        <f t="shared" ca="1" si="45"/>
        <v/>
      </c>
      <c r="M971" s="2"/>
      <c r="N971" s="1" t="str">
        <f t="shared" si="46"/>
        <v/>
      </c>
      <c r="O971" s="2"/>
      <c r="P971" s="2"/>
      <c r="Q971" s="2"/>
      <c r="R971" s="2"/>
      <c r="S971" s="1" t="str">
        <f t="shared" si="47"/>
        <v/>
      </c>
    </row>
    <row r="972" spans="1:19" x14ac:dyDescent="0.25">
      <c r="A972" s="2"/>
      <c r="F972" s="28"/>
      <c r="H972" s="1" t="str">
        <f t="shared" ca="1" si="45"/>
        <v/>
      </c>
      <c r="M972" s="2"/>
      <c r="N972" s="1" t="str">
        <f t="shared" si="46"/>
        <v/>
      </c>
      <c r="O972" s="2"/>
      <c r="P972" s="2"/>
      <c r="Q972" s="2"/>
      <c r="R972" s="2"/>
      <c r="S972" s="1" t="str">
        <f t="shared" si="47"/>
        <v/>
      </c>
    </row>
    <row r="973" spans="1:19" x14ac:dyDescent="0.25">
      <c r="A973" s="2"/>
      <c r="F973" s="28"/>
      <c r="H973" s="1" t="str">
        <f t="shared" ca="1" si="45"/>
        <v/>
      </c>
      <c r="M973" s="2"/>
      <c r="N973" s="1" t="str">
        <f t="shared" si="46"/>
        <v/>
      </c>
      <c r="O973" s="2"/>
      <c r="P973" s="2"/>
      <c r="Q973" s="2"/>
      <c r="R973" s="2"/>
      <c r="S973" s="1" t="str">
        <f t="shared" si="47"/>
        <v/>
      </c>
    </row>
    <row r="974" spans="1:19" x14ac:dyDescent="0.25">
      <c r="A974" s="2"/>
      <c r="F974" s="28"/>
      <c r="H974" s="1" t="str">
        <f t="shared" ca="1" si="45"/>
        <v/>
      </c>
      <c r="M974" s="2"/>
      <c r="N974" s="1" t="str">
        <f t="shared" si="46"/>
        <v/>
      </c>
      <c r="O974" s="2"/>
      <c r="P974" s="2"/>
      <c r="Q974" s="2"/>
      <c r="R974" s="2"/>
      <c r="S974" s="1" t="str">
        <f t="shared" si="47"/>
        <v/>
      </c>
    </row>
    <row r="975" spans="1:19" x14ac:dyDescent="0.25">
      <c r="A975" s="2"/>
      <c r="F975" s="28"/>
      <c r="H975" s="1" t="str">
        <f t="shared" ca="1" si="45"/>
        <v/>
      </c>
      <c r="M975" s="2"/>
      <c r="N975" s="1" t="str">
        <f t="shared" si="46"/>
        <v/>
      </c>
      <c r="O975" s="2"/>
      <c r="P975" s="2"/>
      <c r="Q975" s="2"/>
      <c r="R975" s="2"/>
      <c r="S975" s="1" t="str">
        <f t="shared" si="47"/>
        <v/>
      </c>
    </row>
    <row r="976" spans="1:19" x14ac:dyDescent="0.25">
      <c r="A976" s="2"/>
      <c r="F976" s="28"/>
      <c r="H976" s="1" t="str">
        <f t="shared" ca="1" si="45"/>
        <v/>
      </c>
      <c r="M976" s="2"/>
      <c r="N976" s="1" t="str">
        <f t="shared" si="46"/>
        <v/>
      </c>
      <c r="O976" s="2"/>
      <c r="P976" s="2"/>
      <c r="Q976" s="2"/>
      <c r="R976" s="2"/>
      <c r="S976" s="1" t="str">
        <f t="shared" si="47"/>
        <v/>
      </c>
    </row>
    <row r="977" spans="1:19" x14ac:dyDescent="0.25">
      <c r="A977" s="2"/>
      <c r="F977" s="28"/>
      <c r="H977" s="1" t="str">
        <f t="shared" ca="1" si="45"/>
        <v/>
      </c>
      <c r="M977" s="2"/>
      <c r="N977" s="1" t="str">
        <f t="shared" si="46"/>
        <v/>
      </c>
      <c r="O977" s="2"/>
      <c r="P977" s="2"/>
      <c r="Q977" s="2"/>
      <c r="R977" s="2"/>
      <c r="S977" s="1" t="str">
        <f t="shared" si="47"/>
        <v/>
      </c>
    </row>
    <row r="978" spans="1:19" x14ac:dyDescent="0.25">
      <c r="A978" s="2"/>
      <c r="F978" s="28"/>
      <c r="H978" s="1" t="str">
        <f t="shared" ca="1" si="45"/>
        <v/>
      </c>
      <c r="M978" s="2"/>
      <c r="N978" s="1" t="str">
        <f t="shared" si="46"/>
        <v/>
      </c>
      <c r="O978" s="2"/>
      <c r="P978" s="2"/>
      <c r="Q978" s="2"/>
      <c r="R978" s="2"/>
      <c r="S978" s="1" t="str">
        <f t="shared" si="47"/>
        <v/>
      </c>
    </row>
    <row r="979" spans="1:19" x14ac:dyDescent="0.25">
      <c r="A979" s="2"/>
      <c r="F979" s="28"/>
      <c r="H979" s="1" t="str">
        <f t="shared" ca="1" si="45"/>
        <v/>
      </c>
      <c r="M979" s="2"/>
      <c r="N979" s="1" t="str">
        <f t="shared" si="46"/>
        <v/>
      </c>
      <c r="O979" s="2"/>
      <c r="P979" s="2"/>
      <c r="Q979" s="2"/>
      <c r="R979" s="2"/>
      <c r="S979" s="1" t="str">
        <f t="shared" si="47"/>
        <v/>
      </c>
    </row>
    <row r="980" spans="1:19" x14ac:dyDescent="0.25">
      <c r="A980" s="2"/>
      <c r="F980" s="28"/>
      <c r="H980" s="1" t="str">
        <f t="shared" ca="1" si="45"/>
        <v/>
      </c>
      <c r="M980" s="2"/>
      <c r="N980" s="1" t="str">
        <f t="shared" si="46"/>
        <v/>
      </c>
      <c r="O980" s="2"/>
      <c r="P980" s="2"/>
      <c r="Q980" s="2"/>
      <c r="R980" s="2"/>
      <c r="S980" s="1" t="str">
        <f t="shared" si="47"/>
        <v/>
      </c>
    </row>
    <row r="981" spans="1:19" x14ac:dyDescent="0.25">
      <c r="A981" s="2"/>
      <c r="F981" s="28"/>
      <c r="H981" s="1" t="str">
        <f t="shared" ca="1" si="45"/>
        <v/>
      </c>
      <c r="M981" s="2"/>
      <c r="N981" s="1" t="str">
        <f t="shared" si="46"/>
        <v/>
      </c>
      <c r="O981" s="2"/>
      <c r="P981" s="2"/>
      <c r="Q981" s="2"/>
      <c r="R981" s="2"/>
      <c r="S981" s="1" t="str">
        <f t="shared" si="47"/>
        <v/>
      </c>
    </row>
    <row r="982" spans="1:19" x14ac:dyDescent="0.25">
      <c r="A982" s="2"/>
      <c r="F982" s="28"/>
      <c r="H982" s="1" t="str">
        <f t="shared" ca="1" si="45"/>
        <v/>
      </c>
      <c r="M982" s="2"/>
      <c r="N982" s="1" t="str">
        <f t="shared" si="46"/>
        <v/>
      </c>
      <c r="O982" s="2"/>
      <c r="P982" s="2"/>
      <c r="Q982" s="2"/>
      <c r="R982" s="2"/>
      <c r="S982" s="1" t="str">
        <f t="shared" si="47"/>
        <v/>
      </c>
    </row>
    <row r="983" spans="1:19" x14ac:dyDescent="0.25">
      <c r="A983" s="2"/>
      <c r="F983" s="28"/>
      <c r="H983" s="1" t="str">
        <f t="shared" ca="1" si="45"/>
        <v/>
      </c>
      <c r="M983" s="2"/>
      <c r="N983" s="1" t="str">
        <f t="shared" si="46"/>
        <v/>
      </c>
      <c r="O983" s="2"/>
      <c r="P983" s="2"/>
      <c r="Q983" s="2"/>
      <c r="R983" s="2"/>
      <c r="S983" s="1" t="str">
        <f t="shared" si="47"/>
        <v/>
      </c>
    </row>
    <row r="984" spans="1:19" x14ac:dyDescent="0.25">
      <c r="A984" s="2"/>
      <c r="F984" s="28"/>
      <c r="H984" s="1" t="str">
        <f t="shared" ca="1" si="45"/>
        <v/>
      </c>
      <c r="M984" s="2"/>
      <c r="N984" s="1" t="str">
        <f t="shared" si="46"/>
        <v/>
      </c>
      <c r="O984" s="2"/>
      <c r="P984" s="2"/>
      <c r="Q984" s="2"/>
      <c r="R984" s="2"/>
      <c r="S984" s="1" t="str">
        <f t="shared" si="47"/>
        <v/>
      </c>
    </row>
    <row r="985" spans="1:19" x14ac:dyDescent="0.25">
      <c r="A985" s="2"/>
      <c r="F985" s="28"/>
      <c r="H985" s="1" t="str">
        <f t="shared" ca="1" si="45"/>
        <v/>
      </c>
      <c r="M985" s="2"/>
      <c r="N985" s="1" t="str">
        <f t="shared" si="46"/>
        <v/>
      </c>
      <c r="O985" s="2"/>
      <c r="P985" s="2"/>
      <c r="Q985" s="2"/>
      <c r="R985" s="2"/>
      <c r="S985" s="1" t="str">
        <f t="shared" si="47"/>
        <v/>
      </c>
    </row>
    <row r="986" spans="1:19" x14ac:dyDescent="0.25">
      <c r="A986" s="2"/>
      <c r="F986" s="28"/>
      <c r="H986" s="1" t="str">
        <f t="shared" ca="1" si="45"/>
        <v/>
      </c>
      <c r="M986" s="2"/>
      <c r="N986" s="1" t="str">
        <f t="shared" si="46"/>
        <v/>
      </c>
      <c r="O986" s="2"/>
      <c r="P986" s="2"/>
      <c r="Q986" s="2"/>
      <c r="R986" s="2"/>
      <c r="S986" s="1" t="str">
        <f t="shared" si="47"/>
        <v/>
      </c>
    </row>
    <row r="987" spans="1:19" x14ac:dyDescent="0.25">
      <c r="A987" s="2"/>
      <c r="F987" s="28"/>
      <c r="H987" s="1" t="str">
        <f t="shared" ca="1" si="45"/>
        <v/>
      </c>
      <c r="M987" s="2"/>
      <c r="N987" s="1" t="str">
        <f t="shared" si="46"/>
        <v/>
      </c>
      <c r="O987" s="2"/>
      <c r="P987" s="2"/>
      <c r="Q987" s="2"/>
      <c r="R987" s="2"/>
      <c r="S987" s="1" t="str">
        <f t="shared" si="47"/>
        <v/>
      </c>
    </row>
    <row r="988" spans="1:19" x14ac:dyDescent="0.25">
      <c r="A988" s="2"/>
      <c r="F988" s="28"/>
      <c r="H988" s="1" t="str">
        <f t="shared" ca="1" si="45"/>
        <v/>
      </c>
      <c r="M988" s="2"/>
      <c r="N988" s="1" t="str">
        <f t="shared" si="46"/>
        <v/>
      </c>
      <c r="O988" s="2"/>
      <c r="P988" s="2"/>
      <c r="Q988" s="2"/>
      <c r="R988" s="2"/>
      <c r="S988" s="1" t="str">
        <f t="shared" si="47"/>
        <v/>
      </c>
    </row>
    <row r="989" spans="1:19" x14ac:dyDescent="0.25">
      <c r="A989" s="2"/>
      <c r="F989" s="28"/>
      <c r="H989" s="1" t="str">
        <f t="shared" ca="1" si="45"/>
        <v/>
      </c>
      <c r="M989" s="2"/>
      <c r="N989" s="1" t="str">
        <f t="shared" si="46"/>
        <v/>
      </c>
      <c r="O989" s="2"/>
      <c r="P989" s="2"/>
      <c r="Q989" s="2"/>
      <c r="R989" s="2"/>
      <c r="S989" s="1" t="str">
        <f t="shared" si="47"/>
        <v/>
      </c>
    </row>
    <row r="990" spans="1:19" x14ac:dyDescent="0.25">
      <c r="A990" s="2"/>
      <c r="F990" s="28"/>
      <c r="H990" s="1" t="str">
        <f t="shared" ca="1" si="45"/>
        <v/>
      </c>
      <c r="M990" s="2"/>
      <c r="N990" s="1" t="str">
        <f t="shared" si="46"/>
        <v/>
      </c>
      <c r="O990" s="2"/>
      <c r="P990" s="2"/>
      <c r="Q990" s="2"/>
      <c r="R990" s="2"/>
      <c r="S990" s="1" t="str">
        <f t="shared" si="47"/>
        <v/>
      </c>
    </row>
    <row r="991" spans="1:19" x14ac:dyDescent="0.25">
      <c r="A991" s="2"/>
      <c r="F991" s="28"/>
      <c r="H991" s="1" t="str">
        <f t="shared" ca="1" si="45"/>
        <v/>
      </c>
      <c r="M991" s="2"/>
      <c r="N991" s="1" t="str">
        <f t="shared" si="46"/>
        <v/>
      </c>
      <c r="O991" s="2"/>
      <c r="P991" s="2"/>
      <c r="Q991" s="2"/>
      <c r="R991" s="2"/>
      <c r="S991" s="1" t="str">
        <f t="shared" si="47"/>
        <v/>
      </c>
    </row>
    <row r="992" spans="1:19" x14ac:dyDescent="0.25">
      <c r="A992" s="2"/>
      <c r="F992" s="28"/>
      <c r="H992" s="1" t="str">
        <f t="shared" ca="1" si="45"/>
        <v/>
      </c>
      <c r="M992" s="2"/>
      <c r="N992" s="1" t="str">
        <f t="shared" si="46"/>
        <v/>
      </c>
      <c r="O992" s="2"/>
      <c r="P992" s="2"/>
      <c r="Q992" s="2"/>
      <c r="R992" s="2"/>
      <c r="S992" s="1" t="str">
        <f t="shared" si="47"/>
        <v/>
      </c>
    </row>
    <row r="993" spans="1:19" x14ac:dyDescent="0.25">
      <c r="A993" s="2"/>
      <c r="F993" s="28"/>
      <c r="H993" s="1" t="str">
        <f t="shared" ca="1" si="45"/>
        <v/>
      </c>
      <c r="M993" s="2"/>
      <c r="N993" s="1" t="str">
        <f t="shared" si="46"/>
        <v/>
      </c>
      <c r="O993" s="2"/>
      <c r="P993" s="2"/>
      <c r="Q993" s="2"/>
      <c r="R993" s="2"/>
      <c r="S993" s="1" t="str">
        <f t="shared" si="47"/>
        <v/>
      </c>
    </row>
    <row r="994" spans="1:19" x14ac:dyDescent="0.25">
      <c r="A994" s="2"/>
      <c r="F994" s="28"/>
      <c r="H994" s="1" t="str">
        <f t="shared" ca="1" si="45"/>
        <v/>
      </c>
      <c r="M994" s="2"/>
      <c r="N994" s="1" t="str">
        <f t="shared" si="46"/>
        <v/>
      </c>
      <c r="O994" s="2"/>
      <c r="P994" s="2"/>
      <c r="Q994" s="2"/>
      <c r="R994" s="2"/>
      <c r="S994" s="1" t="str">
        <f t="shared" si="47"/>
        <v/>
      </c>
    </row>
    <row r="995" spans="1:19" x14ac:dyDescent="0.25">
      <c r="A995" s="2"/>
      <c r="F995" s="28"/>
      <c r="H995" s="1" t="str">
        <f t="shared" ca="1" si="45"/>
        <v/>
      </c>
      <c r="M995" s="2"/>
      <c r="N995" s="1" t="str">
        <f t="shared" si="46"/>
        <v/>
      </c>
      <c r="O995" s="2"/>
      <c r="P995" s="2"/>
      <c r="Q995" s="2"/>
      <c r="R995" s="2"/>
      <c r="S995" s="1" t="str">
        <f t="shared" si="47"/>
        <v/>
      </c>
    </row>
    <row r="996" spans="1:19" x14ac:dyDescent="0.25">
      <c r="A996" s="2"/>
      <c r="F996" s="28"/>
      <c r="H996" s="1" t="str">
        <f t="shared" ca="1" si="45"/>
        <v/>
      </c>
      <c r="M996" s="2"/>
      <c r="N996" s="1" t="str">
        <f t="shared" si="46"/>
        <v/>
      </c>
      <c r="O996" s="2"/>
      <c r="P996" s="2"/>
      <c r="Q996" s="2"/>
      <c r="R996" s="2"/>
      <c r="S996" s="1" t="str">
        <f t="shared" si="47"/>
        <v/>
      </c>
    </row>
    <row r="997" spans="1:19" x14ac:dyDescent="0.25">
      <c r="A997" s="2"/>
      <c r="F997" s="28"/>
      <c r="H997" s="1" t="str">
        <f t="shared" ca="1" si="45"/>
        <v/>
      </c>
      <c r="M997" s="2"/>
      <c r="N997" s="1" t="str">
        <f t="shared" si="46"/>
        <v/>
      </c>
      <c r="O997" s="2"/>
      <c r="P997" s="2"/>
      <c r="Q997" s="2"/>
      <c r="R997" s="2"/>
      <c r="S997" s="1" t="str">
        <f t="shared" si="47"/>
        <v/>
      </c>
    </row>
    <row r="998" spans="1:19" hidden="1" x14ac:dyDescent="0.25">
      <c r="A998" s="2"/>
      <c r="F998" s="28"/>
      <c r="H998" s="1" t="str">
        <f t="shared" ca="1" si="45"/>
        <v/>
      </c>
      <c r="M998" s="2"/>
      <c r="N998" s="1" t="str">
        <f t="shared" si="46"/>
        <v/>
      </c>
      <c r="O998" s="2"/>
      <c r="P998" s="2"/>
      <c r="Q998" s="2"/>
      <c r="R998" s="2"/>
      <c r="S998" s="1" t="str">
        <f t="shared" si="47"/>
        <v/>
      </c>
    </row>
    <row r="999" spans="1:19" hidden="1" x14ac:dyDescent="0.25">
      <c r="A999" s="2"/>
      <c r="F999" s="28"/>
      <c r="H999" s="1" t="str">
        <f t="shared" ca="1" si="45"/>
        <v/>
      </c>
      <c r="M999" s="2"/>
      <c r="N999" s="1" t="str">
        <f t="shared" si="46"/>
        <v/>
      </c>
      <c r="O999" s="2"/>
      <c r="P999" s="2"/>
      <c r="Q999" s="2"/>
      <c r="R999" s="2"/>
      <c r="S999" s="1" t="str">
        <f t="shared" si="47"/>
        <v/>
      </c>
    </row>
    <row r="1000" spans="1:19" hidden="1" x14ac:dyDescent="0.25">
      <c r="A1000" s="2"/>
      <c r="F1000" s="28"/>
      <c r="H1000" s="1" t="str">
        <f t="shared" ca="1" si="45"/>
        <v/>
      </c>
      <c r="M1000" s="2"/>
      <c r="N1000" s="1" t="str">
        <f t="shared" si="46"/>
        <v/>
      </c>
      <c r="O1000" s="2"/>
      <c r="P1000" s="2"/>
      <c r="Q1000" s="2"/>
      <c r="R1000" s="2"/>
      <c r="S1000" s="1" t="str">
        <f t="shared" si="47"/>
        <v/>
      </c>
    </row>
    <row r="1001" spans="1:19" hidden="1" x14ac:dyDescent="0.25">
      <c r="A1001" s="2"/>
      <c r="F1001" s="28"/>
      <c r="H1001" s="1" t="str">
        <f t="shared" ca="1" si="45"/>
        <v/>
      </c>
      <c r="M1001" s="2"/>
      <c r="N1001" s="1" t="str">
        <f t="shared" si="46"/>
        <v/>
      </c>
      <c r="O1001" s="2"/>
      <c r="P1001" s="2"/>
      <c r="Q1001" s="2"/>
      <c r="R1001" s="2"/>
      <c r="S1001" s="1" t="str">
        <f t="shared" si="47"/>
        <v/>
      </c>
    </row>
    <row r="1002" spans="1:19" hidden="1" x14ac:dyDescent="0.25">
      <c r="A1002" s="2"/>
      <c r="F1002" s="28"/>
      <c r="H1002" s="1" t="str">
        <f t="shared" ca="1" si="45"/>
        <v/>
      </c>
      <c r="M1002" s="2"/>
      <c r="N1002" s="1" t="str">
        <f t="shared" si="46"/>
        <v/>
      </c>
      <c r="O1002" s="2"/>
      <c r="P1002" s="2"/>
      <c r="Q1002" s="2"/>
      <c r="R1002" s="2"/>
      <c r="S1002" s="1" t="str">
        <f t="shared" si="47"/>
        <v/>
      </c>
    </row>
    <row r="1003" spans="1:19" hidden="1" x14ac:dyDescent="0.25">
      <c r="A1003" s="2"/>
      <c r="F1003" s="28"/>
      <c r="H1003" s="1" t="str">
        <f t="shared" ca="1" si="45"/>
        <v/>
      </c>
      <c r="M1003" s="2"/>
      <c r="N1003" s="1" t="str">
        <f t="shared" si="46"/>
        <v/>
      </c>
      <c r="O1003" s="2"/>
      <c r="P1003" s="2"/>
      <c r="Q1003" s="2"/>
      <c r="R1003" s="2"/>
      <c r="S1003" s="1" t="str">
        <f t="shared" si="47"/>
        <v/>
      </c>
    </row>
    <row r="1004" spans="1:19" hidden="1" x14ac:dyDescent="0.25">
      <c r="A1004" s="2"/>
      <c r="F1004" s="28"/>
      <c r="H1004" s="1" t="str">
        <f t="shared" ca="1" si="45"/>
        <v/>
      </c>
      <c r="M1004" s="2"/>
      <c r="N1004" s="1" t="str">
        <f t="shared" si="46"/>
        <v/>
      </c>
      <c r="O1004" s="2"/>
      <c r="P1004" s="2"/>
      <c r="Q1004" s="2"/>
      <c r="R1004" s="2"/>
      <c r="S1004" s="1" t="str">
        <f t="shared" si="47"/>
        <v/>
      </c>
    </row>
    <row r="1005" spans="1:19" hidden="1" x14ac:dyDescent="0.25">
      <c r="A1005" s="2"/>
      <c r="F1005" s="28"/>
      <c r="H1005" s="1" t="str">
        <f t="shared" ca="1" si="45"/>
        <v/>
      </c>
      <c r="M1005" s="2"/>
      <c r="N1005" s="1" t="str">
        <f t="shared" si="46"/>
        <v/>
      </c>
      <c r="O1005" s="2"/>
      <c r="P1005" s="2"/>
      <c r="Q1005" s="2"/>
      <c r="R1005" s="2"/>
      <c r="S1005" s="1" t="str">
        <f t="shared" si="47"/>
        <v/>
      </c>
    </row>
    <row r="1006" spans="1:19" hidden="1" x14ac:dyDescent="0.25">
      <c r="A1006" s="2"/>
      <c r="H1006" s="1" t="str">
        <f t="shared" ca="1" si="45"/>
        <v/>
      </c>
      <c r="M1006" s="2"/>
      <c r="N1006" s="1" t="str">
        <f t="shared" si="46"/>
        <v/>
      </c>
      <c r="O1006" s="2"/>
      <c r="P1006" s="2"/>
      <c r="Q1006" s="2"/>
      <c r="R1006" s="2"/>
      <c r="S1006" s="1" t="str">
        <f t="shared" si="47"/>
        <v/>
      </c>
    </row>
    <row r="1007" spans="1:19" hidden="1" x14ac:dyDescent="0.25">
      <c r="A1007" s="2"/>
      <c r="H1007" s="1" t="str">
        <f t="shared" ca="1" si="45"/>
        <v/>
      </c>
      <c r="M1007" s="2"/>
      <c r="N1007" s="1" t="str">
        <f t="shared" si="46"/>
        <v/>
      </c>
      <c r="O1007" s="2"/>
      <c r="P1007" s="2"/>
      <c r="Q1007" s="2"/>
      <c r="R1007" s="2"/>
      <c r="S1007" s="1" t="str">
        <f t="shared" si="47"/>
        <v/>
      </c>
    </row>
    <row r="1008" spans="1:19" hidden="1" x14ac:dyDescent="0.25">
      <c r="A1008" s="2"/>
      <c r="H1008" s="1" t="str">
        <f t="shared" ca="1" si="45"/>
        <v/>
      </c>
      <c r="M1008" s="2"/>
      <c r="N1008" s="1" t="str">
        <f t="shared" si="46"/>
        <v/>
      </c>
      <c r="O1008" s="2"/>
      <c r="P1008" s="2"/>
      <c r="Q1008" s="2"/>
      <c r="R1008" s="2"/>
      <c r="S1008" s="1" t="str">
        <f t="shared" si="47"/>
        <v/>
      </c>
    </row>
    <row r="1009" spans="1:19" hidden="1" x14ac:dyDescent="0.25">
      <c r="A1009" s="2"/>
      <c r="H1009" s="1" t="str">
        <f t="shared" ca="1" si="45"/>
        <v/>
      </c>
      <c r="M1009" s="2"/>
      <c r="N1009" s="1" t="str">
        <f t="shared" si="46"/>
        <v/>
      </c>
      <c r="O1009" s="2"/>
      <c r="P1009" s="2"/>
      <c r="Q1009" s="2"/>
      <c r="R1009" s="2"/>
      <c r="S1009" s="1" t="str">
        <f t="shared" si="47"/>
        <v/>
      </c>
    </row>
    <row r="1010" spans="1:19" hidden="1" x14ac:dyDescent="0.25">
      <c r="A1010" s="2"/>
      <c r="H1010" s="1" t="str">
        <f t="shared" ca="1" si="45"/>
        <v/>
      </c>
      <c r="M1010" s="2"/>
      <c r="N1010" s="1" t="str">
        <f t="shared" si="46"/>
        <v/>
      </c>
      <c r="O1010" s="2"/>
      <c r="P1010" s="2"/>
      <c r="Q1010" s="2"/>
      <c r="R1010" s="2"/>
      <c r="S1010" s="1" t="str">
        <f t="shared" si="47"/>
        <v/>
      </c>
    </row>
    <row r="1011" spans="1:19" hidden="1" x14ac:dyDescent="0.25">
      <c r="A1011" s="2"/>
      <c r="H1011" s="1" t="str">
        <f t="shared" ca="1" si="45"/>
        <v/>
      </c>
      <c r="M1011" s="2"/>
      <c r="N1011" s="1" t="str">
        <f t="shared" si="46"/>
        <v/>
      </c>
      <c r="O1011" s="2"/>
      <c r="P1011" s="2"/>
      <c r="Q1011" s="2"/>
      <c r="R1011" s="2"/>
      <c r="S1011" s="1" t="str">
        <f t="shared" si="47"/>
        <v/>
      </c>
    </row>
    <row r="1012" spans="1:19" hidden="1" x14ac:dyDescent="0.25">
      <c r="A1012" s="2"/>
      <c r="H1012" s="1" t="str">
        <f t="shared" ca="1" si="45"/>
        <v/>
      </c>
      <c r="M1012" s="2"/>
      <c r="N1012" s="1" t="str">
        <f t="shared" si="46"/>
        <v/>
      </c>
      <c r="O1012" s="2"/>
      <c r="P1012" s="2"/>
      <c r="Q1012" s="2"/>
      <c r="R1012" s="2"/>
      <c r="S1012" s="1" t="str">
        <f t="shared" si="47"/>
        <v/>
      </c>
    </row>
    <row r="1013" spans="1:19" hidden="1" x14ac:dyDescent="0.25">
      <c r="A1013" s="2"/>
      <c r="H1013" s="1" t="str">
        <f t="shared" ca="1" si="45"/>
        <v/>
      </c>
      <c r="M1013" s="2"/>
      <c r="N1013" s="1" t="str">
        <f t="shared" si="46"/>
        <v/>
      </c>
      <c r="O1013" s="2"/>
      <c r="P1013" s="2"/>
      <c r="Q1013" s="2"/>
      <c r="R1013" s="2"/>
      <c r="S1013" s="1" t="str">
        <f t="shared" si="47"/>
        <v/>
      </c>
    </row>
    <row r="1014" spans="1:19" hidden="1" x14ac:dyDescent="0.25">
      <c r="A1014" s="2"/>
      <c r="H1014" s="1" t="str">
        <f t="shared" ca="1" si="45"/>
        <v/>
      </c>
      <c r="M1014" s="2"/>
      <c r="N1014" s="1" t="str">
        <f t="shared" si="46"/>
        <v/>
      </c>
      <c r="O1014" s="2"/>
      <c r="P1014" s="2"/>
      <c r="Q1014" s="2"/>
      <c r="R1014" s="2"/>
      <c r="S1014" s="1" t="str">
        <f t="shared" si="47"/>
        <v/>
      </c>
    </row>
    <row r="1015" spans="1:19" hidden="1" x14ac:dyDescent="0.25">
      <c r="A1015" s="2"/>
      <c r="H1015" s="1" t="str">
        <f t="shared" ca="1" si="45"/>
        <v/>
      </c>
      <c r="M1015" s="2"/>
      <c r="N1015" s="1" t="str">
        <f t="shared" si="46"/>
        <v/>
      </c>
      <c r="O1015" s="2"/>
      <c r="P1015" s="2"/>
      <c r="Q1015" s="2"/>
      <c r="R1015" s="2"/>
      <c r="S1015" s="1" t="str">
        <f t="shared" si="47"/>
        <v/>
      </c>
    </row>
    <row r="1016" spans="1:19" hidden="1" x14ac:dyDescent="0.25">
      <c r="A1016" s="2"/>
      <c r="H1016" s="1" t="str">
        <f t="shared" ca="1" si="45"/>
        <v/>
      </c>
      <c r="M1016" s="2"/>
      <c r="N1016" s="1" t="str">
        <f t="shared" si="46"/>
        <v/>
      </c>
      <c r="O1016" s="2"/>
      <c r="P1016" s="2"/>
      <c r="Q1016" s="2"/>
      <c r="R1016" s="2"/>
      <c r="S1016" s="1" t="str">
        <f t="shared" si="47"/>
        <v/>
      </c>
    </row>
    <row r="1017" spans="1:19" hidden="1" x14ac:dyDescent="0.25">
      <c r="A1017" s="2"/>
      <c r="H1017" s="1" t="str">
        <f t="shared" ca="1" si="45"/>
        <v/>
      </c>
      <c r="M1017" s="2"/>
      <c r="N1017" s="1" t="str">
        <f t="shared" si="46"/>
        <v/>
      </c>
      <c r="O1017" s="2"/>
      <c r="P1017" s="2"/>
      <c r="Q1017" s="2"/>
      <c r="R1017" s="2"/>
      <c r="S1017" s="1" t="str">
        <f t="shared" si="47"/>
        <v/>
      </c>
    </row>
    <row r="1018" spans="1:19" hidden="1" x14ac:dyDescent="0.25">
      <c r="A1018" s="2"/>
      <c r="H1018" s="1" t="str">
        <f t="shared" ca="1" si="45"/>
        <v/>
      </c>
      <c r="M1018" s="2"/>
      <c r="N1018" s="1" t="str">
        <f t="shared" si="46"/>
        <v/>
      </c>
      <c r="O1018" s="2"/>
      <c r="P1018" s="2"/>
      <c r="Q1018" s="2"/>
      <c r="R1018" s="2"/>
      <c r="S1018" s="1" t="str">
        <f t="shared" si="47"/>
        <v/>
      </c>
    </row>
    <row r="1019" spans="1:19" hidden="1" x14ac:dyDescent="0.25">
      <c r="A1019" s="2"/>
      <c r="H1019" s="1" t="str">
        <f t="shared" ca="1" si="45"/>
        <v/>
      </c>
      <c r="M1019" s="2"/>
      <c r="N1019" s="1" t="str">
        <f t="shared" si="46"/>
        <v/>
      </c>
      <c r="O1019" s="2"/>
      <c r="P1019" s="2"/>
      <c r="Q1019" s="2"/>
      <c r="R1019" s="2"/>
      <c r="S1019" s="1" t="str">
        <f t="shared" si="47"/>
        <v/>
      </c>
    </row>
    <row r="1020" spans="1:19" hidden="1" x14ac:dyDescent="0.25">
      <c r="A1020" s="2"/>
      <c r="H1020" s="1" t="str">
        <f t="shared" ref="H1020:H1083" ca="1" si="48">IF(A1020="","",IF(ISNUMBER(M1020),M1020-A1020,TODAY()-A1020))</f>
        <v/>
      </c>
      <c r="M1020" s="2"/>
      <c r="N1020" s="1" t="str">
        <f t="shared" ref="N1020:N1083" si="49">IF(M1020="","",IF(ISNUMBER(M1020),"Closed","Open"))</f>
        <v/>
      </c>
      <c r="O1020" s="2"/>
      <c r="P1020" s="2"/>
      <c r="Q1020" s="2"/>
      <c r="R1020" s="2"/>
      <c r="S1020" s="1" t="str">
        <f t="shared" ref="S1020:S1083" si="50">IF(Q1020="","",R1020-Q1020)</f>
        <v/>
      </c>
    </row>
    <row r="1021" spans="1:19" hidden="1" x14ac:dyDescent="0.25">
      <c r="A1021" s="2"/>
      <c r="H1021" s="1" t="str">
        <f t="shared" ca="1" si="48"/>
        <v/>
      </c>
      <c r="M1021" s="2"/>
      <c r="N1021" s="1" t="str">
        <f t="shared" si="49"/>
        <v/>
      </c>
      <c r="O1021" s="2"/>
      <c r="P1021" s="2"/>
      <c r="Q1021" s="2"/>
      <c r="R1021" s="2"/>
      <c r="S1021" s="1" t="str">
        <f t="shared" si="50"/>
        <v/>
      </c>
    </row>
    <row r="1022" spans="1:19" hidden="1" x14ac:dyDescent="0.25">
      <c r="A1022" s="2"/>
      <c r="H1022" s="1" t="str">
        <f t="shared" ca="1" si="48"/>
        <v/>
      </c>
      <c r="M1022" s="2"/>
      <c r="N1022" s="1" t="str">
        <f t="shared" si="49"/>
        <v/>
      </c>
      <c r="O1022" s="2"/>
      <c r="P1022" s="2"/>
      <c r="Q1022" s="2"/>
      <c r="R1022" s="2"/>
      <c r="S1022" s="1" t="str">
        <f t="shared" si="50"/>
        <v/>
      </c>
    </row>
    <row r="1023" spans="1:19" hidden="1" x14ac:dyDescent="0.25">
      <c r="A1023" s="2"/>
      <c r="H1023" s="1" t="str">
        <f t="shared" ca="1" si="48"/>
        <v/>
      </c>
      <c r="M1023" s="2"/>
      <c r="N1023" s="1" t="str">
        <f t="shared" si="49"/>
        <v/>
      </c>
      <c r="O1023" s="2"/>
      <c r="P1023" s="2"/>
      <c r="Q1023" s="2"/>
      <c r="R1023" s="2"/>
      <c r="S1023" s="1" t="str">
        <f t="shared" si="50"/>
        <v/>
      </c>
    </row>
    <row r="1024" spans="1:19" hidden="1" x14ac:dyDescent="0.25">
      <c r="A1024" s="2"/>
      <c r="H1024" s="1" t="str">
        <f t="shared" ca="1" si="48"/>
        <v/>
      </c>
      <c r="M1024" s="2"/>
      <c r="N1024" s="1" t="str">
        <f t="shared" si="49"/>
        <v/>
      </c>
      <c r="O1024" s="2"/>
      <c r="P1024" s="2"/>
      <c r="Q1024" s="2"/>
      <c r="R1024" s="2"/>
      <c r="S1024" s="1" t="str">
        <f t="shared" si="50"/>
        <v/>
      </c>
    </row>
    <row r="1025" spans="1:19" hidden="1" x14ac:dyDescent="0.25">
      <c r="A1025" s="2"/>
      <c r="H1025" s="1" t="str">
        <f t="shared" ca="1" si="48"/>
        <v/>
      </c>
      <c r="M1025" s="2"/>
      <c r="N1025" s="1" t="str">
        <f t="shared" si="49"/>
        <v/>
      </c>
      <c r="O1025" s="2"/>
      <c r="P1025" s="2"/>
      <c r="Q1025" s="2"/>
      <c r="R1025" s="2"/>
      <c r="S1025" s="1" t="str">
        <f t="shared" si="50"/>
        <v/>
      </c>
    </row>
    <row r="1026" spans="1:19" hidden="1" x14ac:dyDescent="0.25">
      <c r="A1026" s="2"/>
      <c r="H1026" s="1" t="str">
        <f t="shared" ca="1" si="48"/>
        <v/>
      </c>
      <c r="M1026" s="2"/>
      <c r="N1026" s="1" t="str">
        <f t="shared" si="49"/>
        <v/>
      </c>
      <c r="O1026" s="2"/>
      <c r="P1026" s="2"/>
      <c r="Q1026" s="2"/>
      <c r="R1026" s="2"/>
      <c r="S1026" s="1" t="str">
        <f t="shared" si="50"/>
        <v/>
      </c>
    </row>
    <row r="1027" spans="1:19" hidden="1" x14ac:dyDescent="0.25">
      <c r="A1027" s="2"/>
      <c r="H1027" s="1" t="str">
        <f t="shared" ca="1" si="48"/>
        <v/>
      </c>
      <c r="M1027" s="2"/>
      <c r="N1027" s="1" t="str">
        <f t="shared" si="49"/>
        <v/>
      </c>
      <c r="O1027" s="2"/>
      <c r="P1027" s="2"/>
      <c r="Q1027" s="2"/>
      <c r="R1027" s="2"/>
      <c r="S1027" s="1" t="str">
        <f t="shared" si="50"/>
        <v/>
      </c>
    </row>
    <row r="1028" spans="1:19" hidden="1" x14ac:dyDescent="0.25">
      <c r="A1028" s="2"/>
      <c r="H1028" s="1" t="str">
        <f t="shared" ca="1" si="48"/>
        <v/>
      </c>
      <c r="M1028" s="2"/>
      <c r="N1028" s="1" t="str">
        <f t="shared" si="49"/>
        <v/>
      </c>
      <c r="O1028" s="2"/>
      <c r="P1028" s="2"/>
      <c r="Q1028" s="2"/>
      <c r="R1028" s="2"/>
      <c r="S1028" s="1" t="str">
        <f t="shared" si="50"/>
        <v/>
      </c>
    </row>
    <row r="1029" spans="1:19" hidden="1" x14ac:dyDescent="0.25">
      <c r="A1029" s="2"/>
      <c r="H1029" s="1" t="str">
        <f t="shared" ca="1" si="48"/>
        <v/>
      </c>
      <c r="M1029" s="2"/>
      <c r="N1029" s="1" t="str">
        <f t="shared" si="49"/>
        <v/>
      </c>
      <c r="O1029" s="2"/>
      <c r="P1029" s="2"/>
      <c r="Q1029" s="2"/>
      <c r="R1029" s="2"/>
      <c r="S1029" s="1" t="str">
        <f t="shared" si="50"/>
        <v/>
      </c>
    </row>
    <row r="1030" spans="1:19" hidden="1" x14ac:dyDescent="0.25">
      <c r="A1030" s="2"/>
      <c r="H1030" s="1" t="str">
        <f t="shared" ca="1" si="48"/>
        <v/>
      </c>
      <c r="M1030" s="2"/>
      <c r="N1030" s="1" t="str">
        <f t="shared" si="49"/>
        <v/>
      </c>
      <c r="O1030" s="2"/>
      <c r="P1030" s="2"/>
      <c r="Q1030" s="2"/>
      <c r="R1030" s="2"/>
      <c r="S1030" s="1" t="str">
        <f t="shared" si="50"/>
        <v/>
      </c>
    </row>
    <row r="1031" spans="1:19" hidden="1" x14ac:dyDescent="0.25">
      <c r="A1031" s="2"/>
      <c r="H1031" s="1" t="str">
        <f t="shared" ca="1" si="48"/>
        <v/>
      </c>
      <c r="M1031" s="2"/>
      <c r="N1031" s="1" t="str">
        <f t="shared" si="49"/>
        <v/>
      </c>
      <c r="O1031" s="2"/>
      <c r="P1031" s="2"/>
      <c r="Q1031" s="2"/>
      <c r="R1031" s="2"/>
      <c r="S1031" s="1" t="str">
        <f t="shared" si="50"/>
        <v/>
      </c>
    </row>
    <row r="1032" spans="1:19" hidden="1" x14ac:dyDescent="0.25">
      <c r="A1032" s="2"/>
      <c r="H1032" s="1" t="str">
        <f t="shared" ca="1" si="48"/>
        <v/>
      </c>
      <c r="M1032" s="2"/>
      <c r="N1032" s="1" t="str">
        <f t="shared" si="49"/>
        <v/>
      </c>
      <c r="O1032" s="2"/>
      <c r="P1032" s="2"/>
      <c r="Q1032" s="2"/>
      <c r="R1032" s="2"/>
      <c r="S1032" s="1" t="str">
        <f t="shared" si="50"/>
        <v/>
      </c>
    </row>
    <row r="1033" spans="1:19" hidden="1" x14ac:dyDescent="0.25">
      <c r="A1033" s="2"/>
      <c r="H1033" s="1" t="str">
        <f t="shared" ca="1" si="48"/>
        <v/>
      </c>
      <c r="M1033" s="2"/>
      <c r="N1033" s="1" t="str">
        <f t="shared" si="49"/>
        <v/>
      </c>
      <c r="O1033" s="2"/>
      <c r="P1033" s="2"/>
      <c r="Q1033" s="2"/>
      <c r="R1033" s="2"/>
      <c r="S1033" s="1" t="str">
        <f t="shared" si="50"/>
        <v/>
      </c>
    </row>
    <row r="1034" spans="1:19" hidden="1" x14ac:dyDescent="0.25">
      <c r="A1034" s="2"/>
      <c r="H1034" s="1" t="str">
        <f t="shared" ca="1" si="48"/>
        <v/>
      </c>
      <c r="M1034" s="2"/>
      <c r="N1034" s="1" t="str">
        <f t="shared" si="49"/>
        <v/>
      </c>
      <c r="O1034" s="2"/>
      <c r="P1034" s="2"/>
      <c r="Q1034" s="2"/>
      <c r="R1034" s="2"/>
      <c r="S1034" s="1" t="str">
        <f t="shared" si="50"/>
        <v/>
      </c>
    </row>
    <row r="1035" spans="1:19" hidden="1" x14ac:dyDescent="0.25">
      <c r="A1035" s="2"/>
      <c r="H1035" s="1" t="str">
        <f t="shared" ca="1" si="48"/>
        <v/>
      </c>
      <c r="M1035" s="2"/>
      <c r="N1035" s="1" t="str">
        <f t="shared" si="49"/>
        <v/>
      </c>
      <c r="O1035" s="2"/>
      <c r="P1035" s="2"/>
      <c r="Q1035" s="2"/>
      <c r="R1035" s="2"/>
      <c r="S1035" s="1" t="str">
        <f t="shared" si="50"/>
        <v/>
      </c>
    </row>
    <row r="1036" spans="1:19" hidden="1" x14ac:dyDescent="0.25">
      <c r="A1036" s="2"/>
      <c r="H1036" s="1" t="str">
        <f t="shared" ca="1" si="48"/>
        <v/>
      </c>
      <c r="M1036" s="2"/>
      <c r="N1036" s="1" t="str">
        <f t="shared" si="49"/>
        <v/>
      </c>
      <c r="O1036" s="2"/>
      <c r="P1036" s="2"/>
      <c r="Q1036" s="2"/>
      <c r="R1036" s="2"/>
      <c r="S1036" s="1" t="str">
        <f t="shared" si="50"/>
        <v/>
      </c>
    </row>
    <row r="1037" spans="1:19" hidden="1" x14ac:dyDescent="0.25">
      <c r="A1037" s="2"/>
      <c r="H1037" s="1" t="str">
        <f t="shared" ca="1" si="48"/>
        <v/>
      </c>
      <c r="M1037" s="2"/>
      <c r="N1037" s="1" t="str">
        <f t="shared" si="49"/>
        <v/>
      </c>
      <c r="O1037" s="2"/>
      <c r="P1037" s="2"/>
      <c r="Q1037" s="2"/>
      <c r="R1037" s="2"/>
      <c r="S1037" s="1" t="str">
        <f t="shared" si="50"/>
        <v/>
      </c>
    </row>
    <row r="1038" spans="1:19" hidden="1" x14ac:dyDescent="0.25">
      <c r="A1038" s="2"/>
      <c r="H1038" s="1" t="str">
        <f t="shared" ca="1" si="48"/>
        <v/>
      </c>
      <c r="M1038" s="2"/>
      <c r="N1038" s="1" t="str">
        <f t="shared" si="49"/>
        <v/>
      </c>
      <c r="O1038" s="2"/>
      <c r="P1038" s="2"/>
      <c r="Q1038" s="2"/>
      <c r="R1038" s="2"/>
      <c r="S1038" s="1" t="str">
        <f t="shared" si="50"/>
        <v/>
      </c>
    </row>
    <row r="1039" spans="1:19" hidden="1" x14ac:dyDescent="0.25">
      <c r="A1039" s="2"/>
      <c r="H1039" s="1" t="str">
        <f t="shared" ca="1" si="48"/>
        <v/>
      </c>
      <c r="M1039" s="2"/>
      <c r="N1039" s="1" t="str">
        <f t="shared" si="49"/>
        <v/>
      </c>
      <c r="O1039" s="2"/>
      <c r="P1039" s="2"/>
      <c r="Q1039" s="2"/>
      <c r="R1039" s="2"/>
      <c r="S1039" s="1" t="str">
        <f t="shared" si="50"/>
        <v/>
      </c>
    </row>
    <row r="1040" spans="1:19" hidden="1" x14ac:dyDescent="0.25">
      <c r="A1040" s="2"/>
      <c r="H1040" s="1" t="str">
        <f t="shared" ca="1" si="48"/>
        <v/>
      </c>
      <c r="M1040" s="2"/>
      <c r="N1040" s="1" t="str">
        <f t="shared" si="49"/>
        <v/>
      </c>
      <c r="O1040" s="2"/>
      <c r="P1040" s="2"/>
      <c r="Q1040" s="2"/>
      <c r="R1040" s="2"/>
      <c r="S1040" s="1" t="str">
        <f t="shared" si="50"/>
        <v/>
      </c>
    </row>
    <row r="1041" spans="1:19" hidden="1" x14ac:dyDescent="0.25">
      <c r="A1041" s="2"/>
      <c r="H1041" s="1" t="str">
        <f t="shared" ca="1" si="48"/>
        <v/>
      </c>
      <c r="M1041" s="2"/>
      <c r="N1041" s="1" t="str">
        <f t="shared" si="49"/>
        <v/>
      </c>
      <c r="O1041" s="2"/>
      <c r="P1041" s="2"/>
      <c r="Q1041" s="2"/>
      <c r="R1041" s="2"/>
      <c r="S1041" s="1" t="str">
        <f t="shared" si="50"/>
        <v/>
      </c>
    </row>
    <row r="1042" spans="1:19" hidden="1" x14ac:dyDescent="0.25">
      <c r="A1042" s="2"/>
      <c r="H1042" s="1" t="str">
        <f t="shared" ca="1" si="48"/>
        <v/>
      </c>
      <c r="M1042" s="2"/>
      <c r="N1042" s="1" t="str">
        <f t="shared" si="49"/>
        <v/>
      </c>
      <c r="O1042" s="2"/>
      <c r="P1042" s="2"/>
      <c r="Q1042" s="2"/>
      <c r="R1042" s="2"/>
      <c r="S1042" s="1" t="str">
        <f t="shared" si="50"/>
        <v/>
      </c>
    </row>
    <row r="1043" spans="1:19" hidden="1" x14ac:dyDescent="0.25">
      <c r="A1043" s="2"/>
      <c r="H1043" s="1" t="str">
        <f t="shared" ca="1" si="48"/>
        <v/>
      </c>
      <c r="M1043" s="2"/>
      <c r="N1043" s="1" t="str">
        <f t="shared" si="49"/>
        <v/>
      </c>
      <c r="O1043" s="2"/>
      <c r="P1043" s="2"/>
      <c r="Q1043" s="2"/>
      <c r="R1043" s="2"/>
      <c r="S1043" s="1" t="str">
        <f t="shared" si="50"/>
        <v/>
      </c>
    </row>
    <row r="1044" spans="1:19" hidden="1" x14ac:dyDescent="0.25">
      <c r="A1044" s="2"/>
      <c r="H1044" s="1" t="str">
        <f t="shared" ca="1" si="48"/>
        <v/>
      </c>
      <c r="M1044" s="2"/>
      <c r="N1044" s="1" t="str">
        <f t="shared" si="49"/>
        <v/>
      </c>
      <c r="O1044" s="2"/>
      <c r="P1044" s="2"/>
      <c r="Q1044" s="2"/>
      <c r="R1044" s="2"/>
      <c r="S1044" s="1" t="str">
        <f t="shared" si="50"/>
        <v/>
      </c>
    </row>
    <row r="1045" spans="1:19" hidden="1" x14ac:dyDescent="0.25">
      <c r="A1045" s="2"/>
      <c r="H1045" s="1" t="str">
        <f t="shared" ca="1" si="48"/>
        <v/>
      </c>
      <c r="M1045" s="2"/>
      <c r="N1045" s="1" t="str">
        <f t="shared" si="49"/>
        <v/>
      </c>
      <c r="O1045" s="2"/>
      <c r="P1045" s="2"/>
      <c r="Q1045" s="2"/>
      <c r="R1045" s="2"/>
      <c r="S1045" s="1" t="str">
        <f t="shared" si="50"/>
        <v/>
      </c>
    </row>
    <row r="1046" spans="1:19" hidden="1" x14ac:dyDescent="0.25">
      <c r="A1046" s="2"/>
      <c r="H1046" s="1" t="str">
        <f t="shared" ca="1" si="48"/>
        <v/>
      </c>
      <c r="M1046" s="2"/>
      <c r="N1046" s="1" t="str">
        <f t="shared" si="49"/>
        <v/>
      </c>
      <c r="O1046" s="2"/>
      <c r="P1046" s="2"/>
      <c r="Q1046" s="2"/>
      <c r="R1046" s="2"/>
      <c r="S1046" s="1" t="str">
        <f t="shared" si="50"/>
        <v/>
      </c>
    </row>
    <row r="1047" spans="1:19" hidden="1" x14ac:dyDescent="0.25">
      <c r="A1047" s="2"/>
      <c r="H1047" s="1" t="str">
        <f t="shared" ca="1" si="48"/>
        <v/>
      </c>
      <c r="M1047" s="2"/>
      <c r="N1047" s="1" t="str">
        <f t="shared" si="49"/>
        <v/>
      </c>
      <c r="O1047" s="2"/>
      <c r="P1047" s="2"/>
      <c r="Q1047" s="2"/>
      <c r="R1047" s="2"/>
      <c r="S1047" s="1" t="str">
        <f t="shared" si="50"/>
        <v/>
      </c>
    </row>
    <row r="1048" spans="1:19" hidden="1" x14ac:dyDescent="0.25">
      <c r="A1048" s="2"/>
      <c r="H1048" s="1" t="str">
        <f t="shared" ca="1" si="48"/>
        <v/>
      </c>
      <c r="M1048" s="2"/>
      <c r="N1048" s="1" t="str">
        <f t="shared" si="49"/>
        <v/>
      </c>
      <c r="O1048" s="2"/>
      <c r="P1048" s="2"/>
      <c r="Q1048" s="2"/>
      <c r="R1048" s="2"/>
      <c r="S1048" s="1" t="str">
        <f t="shared" si="50"/>
        <v/>
      </c>
    </row>
    <row r="1049" spans="1:19" hidden="1" x14ac:dyDescent="0.25">
      <c r="A1049" s="2"/>
      <c r="H1049" s="1" t="str">
        <f t="shared" ca="1" si="48"/>
        <v/>
      </c>
      <c r="M1049" s="2"/>
      <c r="N1049" s="1" t="str">
        <f t="shared" si="49"/>
        <v/>
      </c>
      <c r="O1049" s="2"/>
      <c r="P1049" s="2"/>
      <c r="Q1049" s="2"/>
      <c r="R1049" s="2"/>
      <c r="S1049" s="1" t="str">
        <f t="shared" si="50"/>
        <v/>
      </c>
    </row>
    <row r="1050" spans="1:19" hidden="1" x14ac:dyDescent="0.25">
      <c r="A1050" s="2"/>
      <c r="H1050" s="1" t="str">
        <f t="shared" ca="1" si="48"/>
        <v/>
      </c>
      <c r="M1050" s="2"/>
      <c r="N1050" s="1" t="str">
        <f t="shared" si="49"/>
        <v/>
      </c>
      <c r="O1050" s="2"/>
      <c r="P1050" s="2"/>
      <c r="Q1050" s="2"/>
      <c r="R1050" s="2"/>
      <c r="S1050" s="1" t="str">
        <f t="shared" si="50"/>
        <v/>
      </c>
    </row>
    <row r="1051" spans="1:19" hidden="1" x14ac:dyDescent="0.25">
      <c r="A1051" s="2"/>
      <c r="H1051" s="1" t="str">
        <f t="shared" ca="1" si="48"/>
        <v/>
      </c>
      <c r="M1051" s="2"/>
      <c r="N1051" s="1" t="str">
        <f t="shared" si="49"/>
        <v/>
      </c>
      <c r="O1051" s="2"/>
      <c r="P1051" s="2"/>
      <c r="Q1051" s="2"/>
      <c r="R1051" s="2"/>
      <c r="S1051" s="1" t="str">
        <f t="shared" si="50"/>
        <v/>
      </c>
    </row>
    <row r="1052" spans="1:19" hidden="1" x14ac:dyDescent="0.25">
      <c r="A1052" s="2"/>
      <c r="H1052" s="1" t="str">
        <f t="shared" ca="1" si="48"/>
        <v/>
      </c>
      <c r="M1052" s="2"/>
      <c r="N1052" s="1" t="str">
        <f t="shared" si="49"/>
        <v/>
      </c>
      <c r="O1052" s="2"/>
      <c r="P1052" s="2"/>
      <c r="Q1052" s="2"/>
      <c r="R1052" s="2"/>
      <c r="S1052" s="1" t="str">
        <f t="shared" si="50"/>
        <v/>
      </c>
    </row>
    <row r="1053" spans="1:19" hidden="1" x14ac:dyDescent="0.25">
      <c r="A1053" s="2"/>
      <c r="H1053" s="1" t="str">
        <f t="shared" ca="1" si="48"/>
        <v/>
      </c>
      <c r="M1053" s="2"/>
      <c r="N1053" s="1" t="str">
        <f t="shared" si="49"/>
        <v/>
      </c>
      <c r="O1053" s="2"/>
      <c r="P1053" s="2"/>
      <c r="Q1053" s="2"/>
      <c r="R1053" s="2"/>
      <c r="S1053" s="1" t="str">
        <f t="shared" si="50"/>
        <v/>
      </c>
    </row>
    <row r="1054" spans="1:19" hidden="1" x14ac:dyDescent="0.25">
      <c r="A1054" s="2"/>
      <c r="H1054" s="1" t="str">
        <f t="shared" ca="1" si="48"/>
        <v/>
      </c>
      <c r="M1054" s="2"/>
      <c r="N1054" s="1" t="str">
        <f t="shared" si="49"/>
        <v/>
      </c>
      <c r="O1054" s="2"/>
      <c r="P1054" s="2"/>
      <c r="Q1054" s="2"/>
      <c r="R1054" s="2"/>
      <c r="S1054" s="1" t="str">
        <f t="shared" si="50"/>
        <v/>
      </c>
    </row>
    <row r="1055" spans="1:19" hidden="1" x14ac:dyDescent="0.25">
      <c r="A1055" s="2"/>
      <c r="H1055" s="1" t="str">
        <f t="shared" ca="1" si="48"/>
        <v/>
      </c>
      <c r="M1055" s="2"/>
      <c r="N1055" s="1" t="str">
        <f t="shared" si="49"/>
        <v/>
      </c>
      <c r="O1055" s="2"/>
      <c r="P1055" s="2"/>
      <c r="Q1055" s="2"/>
      <c r="R1055" s="2"/>
      <c r="S1055" s="1" t="str">
        <f t="shared" si="50"/>
        <v/>
      </c>
    </row>
    <row r="1056" spans="1:19" hidden="1" x14ac:dyDescent="0.25">
      <c r="A1056" s="2"/>
      <c r="H1056" s="1" t="str">
        <f t="shared" ca="1" si="48"/>
        <v/>
      </c>
      <c r="M1056" s="2"/>
      <c r="N1056" s="1" t="str">
        <f t="shared" si="49"/>
        <v/>
      </c>
      <c r="O1056" s="2"/>
      <c r="P1056" s="2"/>
      <c r="Q1056" s="2"/>
      <c r="R1056" s="2"/>
      <c r="S1056" s="1" t="str">
        <f t="shared" si="50"/>
        <v/>
      </c>
    </row>
    <row r="1057" spans="1:19" hidden="1" x14ac:dyDescent="0.25">
      <c r="A1057" s="2"/>
      <c r="H1057" s="1" t="str">
        <f t="shared" ca="1" si="48"/>
        <v/>
      </c>
      <c r="M1057" s="2"/>
      <c r="N1057" s="1" t="str">
        <f t="shared" si="49"/>
        <v/>
      </c>
      <c r="O1057" s="2"/>
      <c r="P1057" s="2"/>
      <c r="Q1057" s="2"/>
      <c r="R1057" s="2"/>
      <c r="S1057" s="1" t="str">
        <f t="shared" si="50"/>
        <v/>
      </c>
    </row>
    <row r="1058" spans="1:19" hidden="1" x14ac:dyDescent="0.25">
      <c r="A1058" s="2"/>
      <c r="H1058" s="1" t="str">
        <f t="shared" ca="1" si="48"/>
        <v/>
      </c>
      <c r="M1058" s="2"/>
      <c r="N1058" s="1" t="str">
        <f t="shared" si="49"/>
        <v/>
      </c>
      <c r="O1058" s="2"/>
      <c r="P1058" s="2"/>
      <c r="Q1058" s="2"/>
      <c r="R1058" s="2"/>
      <c r="S1058" s="1" t="str">
        <f t="shared" si="50"/>
        <v/>
      </c>
    </row>
    <row r="1059" spans="1:19" hidden="1" x14ac:dyDescent="0.25">
      <c r="A1059" s="2"/>
      <c r="H1059" s="1" t="str">
        <f t="shared" ca="1" si="48"/>
        <v/>
      </c>
      <c r="M1059" s="2"/>
      <c r="N1059" s="1" t="str">
        <f t="shared" si="49"/>
        <v/>
      </c>
      <c r="O1059" s="2"/>
      <c r="P1059" s="2"/>
      <c r="Q1059" s="2"/>
      <c r="R1059" s="2"/>
      <c r="S1059" s="1" t="str">
        <f t="shared" si="50"/>
        <v/>
      </c>
    </row>
    <row r="1060" spans="1:19" hidden="1" x14ac:dyDescent="0.25">
      <c r="A1060" s="2"/>
      <c r="H1060" s="1" t="str">
        <f t="shared" ca="1" si="48"/>
        <v/>
      </c>
      <c r="M1060" s="2"/>
      <c r="N1060" s="1" t="str">
        <f t="shared" si="49"/>
        <v/>
      </c>
      <c r="O1060" s="2"/>
      <c r="P1060" s="2"/>
      <c r="Q1060" s="2"/>
      <c r="R1060" s="2"/>
      <c r="S1060" s="1" t="str">
        <f t="shared" si="50"/>
        <v/>
      </c>
    </row>
    <row r="1061" spans="1:19" hidden="1" x14ac:dyDescent="0.25">
      <c r="A1061" s="2"/>
      <c r="H1061" s="1" t="str">
        <f t="shared" ca="1" si="48"/>
        <v/>
      </c>
      <c r="M1061" s="2"/>
      <c r="N1061" s="1" t="str">
        <f t="shared" si="49"/>
        <v/>
      </c>
      <c r="O1061" s="2"/>
      <c r="P1061" s="2"/>
      <c r="Q1061" s="2"/>
      <c r="R1061" s="2"/>
      <c r="S1061" s="1" t="str">
        <f t="shared" si="50"/>
        <v/>
      </c>
    </row>
    <row r="1062" spans="1:19" hidden="1" x14ac:dyDescent="0.25">
      <c r="A1062" s="2"/>
      <c r="H1062" s="1" t="str">
        <f t="shared" ca="1" si="48"/>
        <v/>
      </c>
      <c r="M1062" s="2"/>
      <c r="N1062" s="1" t="str">
        <f t="shared" si="49"/>
        <v/>
      </c>
      <c r="O1062" s="2"/>
      <c r="P1062" s="2"/>
      <c r="Q1062" s="2"/>
      <c r="R1062" s="2"/>
      <c r="S1062" s="1" t="str">
        <f t="shared" si="50"/>
        <v/>
      </c>
    </row>
    <row r="1063" spans="1:19" hidden="1" x14ac:dyDescent="0.25">
      <c r="A1063" s="2"/>
      <c r="H1063" s="1" t="str">
        <f t="shared" ca="1" si="48"/>
        <v/>
      </c>
      <c r="M1063" s="2"/>
      <c r="N1063" s="1" t="str">
        <f t="shared" si="49"/>
        <v/>
      </c>
      <c r="O1063" s="2"/>
      <c r="P1063" s="2"/>
      <c r="Q1063" s="2"/>
      <c r="R1063" s="2"/>
      <c r="S1063" s="1" t="str">
        <f t="shared" si="50"/>
        <v/>
      </c>
    </row>
    <row r="1064" spans="1:19" hidden="1" x14ac:dyDescent="0.25">
      <c r="A1064" s="2"/>
      <c r="H1064" s="1" t="str">
        <f t="shared" ca="1" si="48"/>
        <v/>
      </c>
      <c r="M1064" s="2"/>
      <c r="N1064" s="1" t="str">
        <f t="shared" si="49"/>
        <v/>
      </c>
      <c r="O1064" s="2"/>
      <c r="P1064" s="2"/>
      <c r="Q1064" s="2"/>
      <c r="R1064" s="2"/>
      <c r="S1064" s="1" t="str">
        <f t="shared" si="50"/>
        <v/>
      </c>
    </row>
    <row r="1065" spans="1:19" hidden="1" x14ac:dyDescent="0.25">
      <c r="A1065" s="2"/>
      <c r="H1065" s="1" t="str">
        <f t="shared" ca="1" si="48"/>
        <v/>
      </c>
      <c r="M1065" s="2"/>
      <c r="N1065" s="1" t="str">
        <f t="shared" si="49"/>
        <v/>
      </c>
      <c r="O1065" s="2"/>
      <c r="P1065" s="2"/>
      <c r="Q1065" s="2"/>
      <c r="R1065" s="2"/>
      <c r="S1065" s="1" t="str">
        <f t="shared" si="50"/>
        <v/>
      </c>
    </row>
    <row r="1066" spans="1:19" hidden="1" x14ac:dyDescent="0.25">
      <c r="A1066" s="2"/>
      <c r="H1066" s="1" t="str">
        <f t="shared" ca="1" si="48"/>
        <v/>
      </c>
      <c r="M1066" s="2"/>
      <c r="N1066" s="1" t="str">
        <f t="shared" si="49"/>
        <v/>
      </c>
      <c r="O1066" s="2"/>
      <c r="P1066" s="2"/>
      <c r="Q1066" s="2"/>
      <c r="R1066" s="2"/>
      <c r="S1066" s="1" t="str">
        <f t="shared" si="50"/>
        <v/>
      </c>
    </row>
    <row r="1067" spans="1:19" hidden="1" x14ac:dyDescent="0.25">
      <c r="A1067" s="2"/>
      <c r="H1067" s="1" t="str">
        <f t="shared" ca="1" si="48"/>
        <v/>
      </c>
      <c r="M1067" s="2"/>
      <c r="N1067" s="1" t="str">
        <f t="shared" si="49"/>
        <v/>
      </c>
      <c r="O1067" s="2"/>
      <c r="P1067" s="2"/>
      <c r="Q1067" s="2"/>
      <c r="R1067" s="2"/>
      <c r="S1067" s="1" t="str">
        <f t="shared" si="50"/>
        <v/>
      </c>
    </row>
    <row r="1068" spans="1:19" hidden="1" x14ac:dyDescent="0.25">
      <c r="A1068" s="2"/>
      <c r="H1068" s="1" t="str">
        <f t="shared" ca="1" si="48"/>
        <v/>
      </c>
      <c r="M1068" s="2"/>
      <c r="N1068" s="1" t="str">
        <f t="shared" si="49"/>
        <v/>
      </c>
      <c r="O1068" s="2"/>
      <c r="P1068" s="2"/>
      <c r="Q1068" s="2"/>
      <c r="R1068" s="2"/>
      <c r="S1068" s="1" t="str">
        <f t="shared" si="50"/>
        <v/>
      </c>
    </row>
    <row r="1069" spans="1:19" hidden="1" x14ac:dyDescent="0.25">
      <c r="A1069" s="2"/>
      <c r="H1069" s="1" t="str">
        <f t="shared" ca="1" si="48"/>
        <v/>
      </c>
      <c r="M1069" s="2"/>
      <c r="N1069" s="1" t="str">
        <f t="shared" si="49"/>
        <v/>
      </c>
      <c r="O1069" s="2"/>
      <c r="P1069" s="2"/>
      <c r="Q1069" s="2"/>
      <c r="R1069" s="2"/>
      <c r="S1069" s="1" t="str">
        <f t="shared" si="50"/>
        <v/>
      </c>
    </row>
    <row r="1070" spans="1:19" hidden="1" x14ac:dyDescent="0.25">
      <c r="A1070" s="2"/>
      <c r="H1070" s="1" t="str">
        <f t="shared" ca="1" si="48"/>
        <v/>
      </c>
      <c r="M1070" s="2"/>
      <c r="N1070" s="1" t="str">
        <f t="shared" si="49"/>
        <v/>
      </c>
      <c r="O1070" s="2"/>
      <c r="P1070" s="2"/>
      <c r="Q1070" s="2"/>
      <c r="R1070" s="2"/>
      <c r="S1070" s="1" t="str">
        <f t="shared" si="50"/>
        <v/>
      </c>
    </row>
    <row r="1071" spans="1:19" hidden="1" x14ac:dyDescent="0.25">
      <c r="A1071" s="2"/>
      <c r="H1071" s="1" t="str">
        <f t="shared" ca="1" si="48"/>
        <v/>
      </c>
      <c r="M1071" s="2"/>
      <c r="N1071" s="1" t="str">
        <f t="shared" si="49"/>
        <v/>
      </c>
      <c r="O1071" s="2"/>
      <c r="P1071" s="2"/>
      <c r="Q1071" s="2"/>
      <c r="R1071" s="2"/>
      <c r="S1071" s="1" t="str">
        <f t="shared" si="50"/>
        <v/>
      </c>
    </row>
    <row r="1072" spans="1:19" hidden="1" x14ac:dyDescent="0.25">
      <c r="A1072" s="2"/>
      <c r="H1072" s="1" t="str">
        <f t="shared" ca="1" si="48"/>
        <v/>
      </c>
      <c r="M1072" s="2"/>
      <c r="N1072" s="1" t="str">
        <f t="shared" si="49"/>
        <v/>
      </c>
      <c r="O1072" s="2"/>
      <c r="P1072" s="2"/>
      <c r="Q1072" s="2"/>
      <c r="R1072" s="2"/>
      <c r="S1072" s="1" t="str">
        <f t="shared" si="50"/>
        <v/>
      </c>
    </row>
    <row r="1073" spans="1:19" hidden="1" x14ac:dyDescent="0.25">
      <c r="A1073" s="2"/>
      <c r="H1073" s="1" t="str">
        <f t="shared" ca="1" si="48"/>
        <v/>
      </c>
      <c r="M1073" s="2"/>
      <c r="N1073" s="1" t="str">
        <f t="shared" si="49"/>
        <v/>
      </c>
      <c r="O1073" s="2"/>
      <c r="P1073" s="2"/>
      <c r="Q1073" s="2"/>
      <c r="R1073" s="2"/>
      <c r="S1073" s="1" t="str">
        <f t="shared" si="50"/>
        <v/>
      </c>
    </row>
    <row r="1074" spans="1:19" hidden="1" x14ac:dyDescent="0.25">
      <c r="A1074" s="2"/>
      <c r="H1074" s="1" t="str">
        <f t="shared" ca="1" si="48"/>
        <v/>
      </c>
      <c r="M1074" s="2"/>
      <c r="N1074" s="1" t="str">
        <f t="shared" si="49"/>
        <v/>
      </c>
      <c r="O1074" s="2"/>
      <c r="P1074" s="2"/>
      <c r="Q1074" s="2"/>
      <c r="R1074" s="2"/>
      <c r="S1074" s="1" t="str">
        <f t="shared" si="50"/>
        <v/>
      </c>
    </row>
    <row r="1075" spans="1:19" hidden="1" x14ac:dyDescent="0.25">
      <c r="A1075" s="2"/>
      <c r="H1075" s="1" t="str">
        <f t="shared" ca="1" si="48"/>
        <v/>
      </c>
      <c r="M1075" s="2"/>
      <c r="N1075" s="1" t="str">
        <f t="shared" si="49"/>
        <v/>
      </c>
      <c r="O1075" s="2"/>
      <c r="P1075" s="2"/>
      <c r="Q1075" s="2"/>
      <c r="R1075" s="2"/>
      <c r="S1075" s="1" t="str">
        <f t="shared" si="50"/>
        <v/>
      </c>
    </row>
    <row r="1076" spans="1:19" hidden="1" x14ac:dyDescent="0.25">
      <c r="A1076" s="2"/>
      <c r="H1076" s="1" t="str">
        <f t="shared" ca="1" si="48"/>
        <v/>
      </c>
      <c r="M1076" s="2"/>
      <c r="N1076" s="1" t="str">
        <f t="shared" si="49"/>
        <v/>
      </c>
      <c r="O1076" s="2"/>
      <c r="P1076" s="2"/>
      <c r="Q1076" s="2"/>
      <c r="R1076" s="2"/>
      <c r="S1076" s="1" t="str">
        <f t="shared" si="50"/>
        <v/>
      </c>
    </row>
    <row r="1077" spans="1:19" hidden="1" x14ac:dyDescent="0.25">
      <c r="A1077" s="2"/>
      <c r="H1077" s="1" t="str">
        <f t="shared" ca="1" si="48"/>
        <v/>
      </c>
      <c r="M1077" s="2"/>
      <c r="N1077" s="1" t="str">
        <f t="shared" si="49"/>
        <v/>
      </c>
      <c r="O1077" s="2"/>
      <c r="P1077" s="2"/>
      <c r="Q1077" s="2"/>
      <c r="R1077" s="2"/>
      <c r="S1077" s="1" t="str">
        <f t="shared" si="50"/>
        <v/>
      </c>
    </row>
    <row r="1078" spans="1:19" hidden="1" x14ac:dyDescent="0.25">
      <c r="A1078" s="2"/>
      <c r="H1078" s="1" t="str">
        <f t="shared" ca="1" si="48"/>
        <v/>
      </c>
      <c r="M1078" s="2"/>
      <c r="N1078" s="1" t="str">
        <f t="shared" si="49"/>
        <v/>
      </c>
      <c r="O1078" s="2"/>
      <c r="P1078" s="2"/>
      <c r="Q1078" s="2"/>
      <c r="R1078" s="2"/>
      <c r="S1078" s="1" t="str">
        <f t="shared" si="50"/>
        <v/>
      </c>
    </row>
    <row r="1079" spans="1:19" hidden="1" x14ac:dyDescent="0.25">
      <c r="A1079" s="2"/>
      <c r="H1079" s="1" t="str">
        <f t="shared" ca="1" si="48"/>
        <v/>
      </c>
      <c r="M1079" s="2"/>
      <c r="N1079" s="1" t="str">
        <f t="shared" si="49"/>
        <v/>
      </c>
      <c r="O1079" s="2"/>
      <c r="P1079" s="2"/>
      <c r="Q1079" s="2"/>
      <c r="R1079" s="2"/>
      <c r="S1079" s="1" t="str">
        <f t="shared" si="50"/>
        <v/>
      </c>
    </row>
    <row r="1080" spans="1:19" hidden="1" x14ac:dyDescent="0.25">
      <c r="A1080" s="2"/>
      <c r="H1080" s="1" t="str">
        <f t="shared" ca="1" si="48"/>
        <v/>
      </c>
      <c r="M1080" s="2"/>
      <c r="N1080" s="1" t="str">
        <f t="shared" si="49"/>
        <v/>
      </c>
      <c r="O1080" s="2"/>
      <c r="P1080" s="2"/>
      <c r="Q1080" s="2"/>
      <c r="R1080" s="2"/>
      <c r="S1080" s="1" t="str">
        <f t="shared" si="50"/>
        <v/>
      </c>
    </row>
    <row r="1081" spans="1:19" hidden="1" x14ac:dyDescent="0.25">
      <c r="A1081" s="2"/>
      <c r="H1081" s="1" t="str">
        <f t="shared" ca="1" si="48"/>
        <v/>
      </c>
      <c r="M1081" s="2"/>
      <c r="N1081" s="1" t="str">
        <f t="shared" si="49"/>
        <v/>
      </c>
      <c r="O1081" s="2"/>
      <c r="P1081" s="2"/>
      <c r="Q1081" s="2"/>
      <c r="R1081" s="2"/>
      <c r="S1081" s="1" t="str">
        <f t="shared" si="50"/>
        <v/>
      </c>
    </row>
    <row r="1082" spans="1:19" hidden="1" x14ac:dyDescent="0.25">
      <c r="A1082" s="2"/>
      <c r="H1082" s="1" t="str">
        <f t="shared" ca="1" si="48"/>
        <v/>
      </c>
      <c r="M1082" s="2"/>
      <c r="N1082" s="1" t="str">
        <f t="shared" si="49"/>
        <v/>
      </c>
      <c r="O1082" s="2"/>
      <c r="P1082" s="2"/>
      <c r="Q1082" s="2"/>
      <c r="R1082" s="2"/>
      <c r="S1082" s="1" t="str">
        <f t="shared" si="50"/>
        <v/>
      </c>
    </row>
    <row r="1083" spans="1:19" hidden="1" x14ac:dyDescent="0.25">
      <c r="A1083" s="2"/>
      <c r="H1083" s="1" t="str">
        <f t="shared" ca="1" si="48"/>
        <v/>
      </c>
      <c r="M1083" s="2"/>
      <c r="N1083" s="1" t="str">
        <f t="shared" si="49"/>
        <v/>
      </c>
      <c r="O1083" s="2"/>
      <c r="P1083" s="2"/>
      <c r="Q1083" s="2"/>
      <c r="R1083" s="2"/>
      <c r="S1083" s="1" t="str">
        <f t="shared" si="50"/>
        <v/>
      </c>
    </row>
    <row r="1084" spans="1:19" hidden="1" x14ac:dyDescent="0.25">
      <c r="A1084" s="2"/>
      <c r="H1084" s="1" t="str">
        <f t="shared" ref="H1084:H1121" ca="1" si="51">IF(A1084="","",IF(ISNUMBER(M1084),M1084-A1084,TODAY()-A1084))</f>
        <v/>
      </c>
      <c r="M1084" s="2"/>
      <c r="N1084" s="1" t="str">
        <f t="shared" ref="N1084:N1121" si="52">IF(M1084="","",IF(ISNUMBER(M1084),"Closed","Open"))</f>
        <v/>
      </c>
      <c r="O1084" s="2"/>
      <c r="P1084" s="2"/>
      <c r="Q1084" s="2"/>
      <c r="R1084" s="2"/>
      <c r="S1084" s="1" t="str">
        <f t="shared" ref="S1084:S1121" si="53">IF(Q1084="","",R1084-Q1084)</f>
        <v/>
      </c>
    </row>
    <row r="1085" spans="1:19" hidden="1" x14ac:dyDescent="0.25">
      <c r="A1085" s="2"/>
      <c r="H1085" s="1" t="str">
        <f t="shared" ca="1" si="51"/>
        <v/>
      </c>
      <c r="M1085" s="2"/>
      <c r="N1085" s="1" t="str">
        <f t="shared" si="52"/>
        <v/>
      </c>
      <c r="O1085" s="2"/>
      <c r="P1085" s="2"/>
      <c r="Q1085" s="2"/>
      <c r="R1085" s="2"/>
      <c r="S1085" s="1" t="str">
        <f t="shared" si="53"/>
        <v/>
      </c>
    </row>
    <row r="1086" spans="1:19" hidden="1" x14ac:dyDescent="0.25">
      <c r="A1086" s="2"/>
      <c r="H1086" s="1" t="str">
        <f t="shared" ca="1" si="51"/>
        <v/>
      </c>
      <c r="M1086" s="2"/>
      <c r="N1086" s="1" t="str">
        <f t="shared" si="52"/>
        <v/>
      </c>
      <c r="O1086" s="2"/>
      <c r="P1086" s="2"/>
      <c r="Q1086" s="2"/>
      <c r="R1086" s="2"/>
      <c r="S1086" s="1" t="str">
        <f t="shared" si="53"/>
        <v/>
      </c>
    </row>
    <row r="1087" spans="1:19" hidden="1" x14ac:dyDescent="0.25">
      <c r="A1087" s="2"/>
      <c r="H1087" s="1" t="str">
        <f t="shared" ca="1" si="51"/>
        <v/>
      </c>
      <c r="M1087" s="2"/>
      <c r="N1087" s="1" t="str">
        <f t="shared" si="52"/>
        <v/>
      </c>
      <c r="O1087" s="2"/>
      <c r="P1087" s="2"/>
      <c r="Q1087" s="2"/>
      <c r="R1087" s="2"/>
      <c r="S1087" s="1" t="str">
        <f t="shared" si="53"/>
        <v/>
      </c>
    </row>
    <row r="1088" spans="1:19" hidden="1" x14ac:dyDescent="0.25">
      <c r="A1088" s="2"/>
      <c r="H1088" s="1" t="str">
        <f t="shared" ca="1" si="51"/>
        <v/>
      </c>
      <c r="M1088" s="2"/>
      <c r="N1088" s="1" t="str">
        <f t="shared" si="52"/>
        <v/>
      </c>
      <c r="O1088" s="2"/>
      <c r="P1088" s="2"/>
      <c r="Q1088" s="2"/>
      <c r="R1088" s="2"/>
      <c r="S1088" s="1" t="str">
        <f t="shared" si="53"/>
        <v/>
      </c>
    </row>
    <row r="1089" spans="1:19" hidden="1" x14ac:dyDescent="0.25">
      <c r="A1089" s="2"/>
      <c r="H1089" s="1" t="str">
        <f t="shared" ca="1" si="51"/>
        <v/>
      </c>
      <c r="M1089" s="2"/>
      <c r="N1089" s="1" t="str">
        <f t="shared" si="52"/>
        <v/>
      </c>
      <c r="O1089" s="2"/>
      <c r="P1089" s="2"/>
      <c r="Q1089" s="2"/>
      <c r="R1089" s="2"/>
      <c r="S1089" s="1" t="str">
        <f t="shared" si="53"/>
        <v/>
      </c>
    </row>
    <row r="1090" spans="1:19" hidden="1" x14ac:dyDescent="0.25">
      <c r="A1090" s="2"/>
      <c r="H1090" s="1" t="str">
        <f t="shared" ca="1" si="51"/>
        <v/>
      </c>
      <c r="M1090" s="2"/>
      <c r="N1090" s="1" t="str">
        <f t="shared" si="52"/>
        <v/>
      </c>
      <c r="O1090" s="2"/>
      <c r="P1090" s="2"/>
      <c r="Q1090" s="2"/>
      <c r="R1090" s="2"/>
      <c r="S1090" s="1" t="str">
        <f t="shared" si="53"/>
        <v/>
      </c>
    </row>
    <row r="1091" spans="1:19" hidden="1" x14ac:dyDescent="0.25">
      <c r="A1091" s="2"/>
      <c r="H1091" s="1" t="str">
        <f t="shared" ca="1" si="51"/>
        <v/>
      </c>
      <c r="M1091" s="2"/>
      <c r="N1091" s="1" t="str">
        <f t="shared" si="52"/>
        <v/>
      </c>
      <c r="O1091" s="2"/>
      <c r="P1091" s="2"/>
      <c r="Q1091" s="2"/>
      <c r="R1091" s="2"/>
      <c r="S1091" s="1" t="str">
        <f t="shared" si="53"/>
        <v/>
      </c>
    </row>
    <row r="1092" spans="1:19" hidden="1" x14ac:dyDescent="0.25">
      <c r="A1092" s="2"/>
      <c r="H1092" s="1" t="str">
        <f t="shared" ca="1" si="51"/>
        <v/>
      </c>
      <c r="M1092" s="2"/>
      <c r="N1092" s="1" t="str">
        <f t="shared" si="52"/>
        <v/>
      </c>
      <c r="O1092" s="2"/>
      <c r="P1092" s="2"/>
      <c r="Q1092" s="2"/>
      <c r="R1092" s="2"/>
      <c r="S1092" s="1" t="str">
        <f t="shared" si="53"/>
        <v/>
      </c>
    </row>
    <row r="1093" spans="1:19" hidden="1" x14ac:dyDescent="0.25">
      <c r="A1093" s="2"/>
      <c r="H1093" s="1" t="str">
        <f t="shared" ca="1" si="51"/>
        <v/>
      </c>
      <c r="M1093" s="2"/>
      <c r="N1093" s="1" t="str">
        <f t="shared" si="52"/>
        <v/>
      </c>
      <c r="O1093" s="2"/>
      <c r="P1093" s="2"/>
      <c r="Q1093" s="2"/>
      <c r="R1093" s="2"/>
      <c r="S1093" s="1" t="str">
        <f t="shared" si="53"/>
        <v/>
      </c>
    </row>
    <row r="1094" spans="1:19" hidden="1" x14ac:dyDescent="0.25">
      <c r="A1094" s="2"/>
      <c r="H1094" s="1" t="str">
        <f t="shared" ca="1" si="51"/>
        <v/>
      </c>
      <c r="M1094" s="2"/>
      <c r="N1094" s="1" t="str">
        <f t="shared" si="52"/>
        <v/>
      </c>
      <c r="O1094" s="2"/>
      <c r="P1094" s="2"/>
      <c r="Q1094" s="2"/>
      <c r="R1094" s="2"/>
      <c r="S1094" s="1" t="str">
        <f t="shared" si="53"/>
        <v/>
      </c>
    </row>
    <row r="1095" spans="1:19" hidden="1" x14ac:dyDescent="0.25">
      <c r="A1095" s="2"/>
      <c r="H1095" s="1" t="str">
        <f t="shared" ca="1" si="51"/>
        <v/>
      </c>
      <c r="M1095" s="2"/>
      <c r="N1095" s="1" t="str">
        <f t="shared" si="52"/>
        <v/>
      </c>
      <c r="O1095" s="2"/>
      <c r="P1095" s="2"/>
      <c r="Q1095" s="2"/>
      <c r="R1095" s="2"/>
      <c r="S1095" s="1" t="str">
        <f t="shared" si="53"/>
        <v/>
      </c>
    </row>
    <row r="1096" spans="1:19" hidden="1" x14ac:dyDescent="0.25">
      <c r="A1096" s="2"/>
      <c r="H1096" s="1" t="str">
        <f t="shared" ca="1" si="51"/>
        <v/>
      </c>
      <c r="M1096" s="2"/>
      <c r="N1096" s="1" t="str">
        <f t="shared" si="52"/>
        <v/>
      </c>
      <c r="O1096" s="2"/>
      <c r="P1096" s="2"/>
      <c r="Q1096" s="2"/>
      <c r="R1096" s="2"/>
      <c r="S1096" s="1" t="str">
        <f t="shared" si="53"/>
        <v/>
      </c>
    </row>
    <row r="1097" spans="1:19" hidden="1" x14ac:dyDescent="0.25">
      <c r="A1097" s="2"/>
      <c r="H1097" s="1" t="str">
        <f t="shared" ca="1" si="51"/>
        <v/>
      </c>
      <c r="M1097" s="2"/>
      <c r="N1097" s="1" t="str">
        <f t="shared" si="52"/>
        <v/>
      </c>
      <c r="O1097" s="2"/>
      <c r="P1097" s="2"/>
      <c r="Q1097" s="2"/>
      <c r="R1097" s="2"/>
      <c r="S1097" s="1" t="str">
        <f t="shared" si="53"/>
        <v/>
      </c>
    </row>
    <row r="1098" spans="1:19" hidden="1" x14ac:dyDescent="0.25">
      <c r="A1098" s="2"/>
      <c r="H1098" s="1" t="str">
        <f t="shared" ca="1" si="51"/>
        <v/>
      </c>
      <c r="M1098" s="2"/>
      <c r="N1098" s="1" t="str">
        <f t="shared" si="52"/>
        <v/>
      </c>
      <c r="O1098" s="2"/>
      <c r="P1098" s="2"/>
      <c r="Q1098" s="2"/>
      <c r="R1098" s="2"/>
      <c r="S1098" s="1" t="str">
        <f t="shared" si="53"/>
        <v/>
      </c>
    </row>
    <row r="1099" spans="1:19" hidden="1" x14ac:dyDescent="0.25">
      <c r="A1099" s="2"/>
      <c r="H1099" s="1" t="str">
        <f t="shared" ca="1" si="51"/>
        <v/>
      </c>
      <c r="M1099" s="2"/>
      <c r="N1099" s="1" t="str">
        <f t="shared" si="52"/>
        <v/>
      </c>
      <c r="O1099" s="2"/>
      <c r="P1099" s="2"/>
      <c r="Q1099" s="2"/>
      <c r="R1099" s="2"/>
      <c r="S1099" s="1" t="str">
        <f t="shared" si="53"/>
        <v/>
      </c>
    </row>
    <row r="1100" spans="1:19" hidden="1" x14ac:dyDescent="0.25">
      <c r="A1100" s="2"/>
      <c r="H1100" s="1" t="str">
        <f t="shared" ca="1" si="51"/>
        <v/>
      </c>
      <c r="M1100" s="2"/>
      <c r="N1100" s="1" t="str">
        <f t="shared" si="52"/>
        <v/>
      </c>
      <c r="O1100" s="2"/>
      <c r="P1100" s="2"/>
      <c r="Q1100" s="2"/>
      <c r="R1100" s="2"/>
      <c r="S1100" s="1" t="str">
        <f t="shared" si="53"/>
        <v/>
      </c>
    </row>
    <row r="1101" spans="1:19" hidden="1" x14ac:dyDescent="0.25">
      <c r="A1101" s="2"/>
      <c r="H1101" s="1" t="str">
        <f t="shared" ca="1" si="51"/>
        <v/>
      </c>
      <c r="M1101" s="2"/>
      <c r="N1101" s="1" t="str">
        <f t="shared" si="52"/>
        <v/>
      </c>
      <c r="O1101" s="2"/>
      <c r="P1101" s="2"/>
      <c r="Q1101" s="2"/>
      <c r="R1101" s="2"/>
      <c r="S1101" s="1" t="str">
        <f t="shared" si="53"/>
        <v/>
      </c>
    </row>
    <row r="1102" spans="1:19" hidden="1" x14ac:dyDescent="0.25">
      <c r="A1102" s="2"/>
      <c r="H1102" s="1" t="str">
        <f t="shared" ca="1" si="51"/>
        <v/>
      </c>
      <c r="M1102" s="2"/>
      <c r="N1102" s="1" t="str">
        <f t="shared" si="52"/>
        <v/>
      </c>
      <c r="O1102" s="2"/>
      <c r="P1102" s="2"/>
      <c r="Q1102" s="2"/>
      <c r="R1102" s="2"/>
      <c r="S1102" s="1" t="str">
        <f t="shared" si="53"/>
        <v/>
      </c>
    </row>
    <row r="1103" spans="1:19" hidden="1" x14ac:dyDescent="0.25">
      <c r="A1103" s="2"/>
      <c r="H1103" s="1" t="str">
        <f t="shared" ca="1" si="51"/>
        <v/>
      </c>
      <c r="M1103" s="2"/>
      <c r="N1103" s="1" t="str">
        <f t="shared" si="52"/>
        <v/>
      </c>
      <c r="O1103" s="2"/>
      <c r="P1103" s="2"/>
      <c r="Q1103" s="2"/>
      <c r="R1103" s="2"/>
      <c r="S1103" s="1" t="str">
        <f t="shared" si="53"/>
        <v/>
      </c>
    </row>
    <row r="1104" spans="1:19" hidden="1" x14ac:dyDescent="0.25">
      <c r="A1104" s="2"/>
      <c r="H1104" s="1" t="str">
        <f t="shared" ca="1" si="51"/>
        <v/>
      </c>
      <c r="M1104" s="2"/>
      <c r="N1104" s="1" t="str">
        <f t="shared" si="52"/>
        <v/>
      </c>
      <c r="O1104" s="2"/>
      <c r="P1104" s="2"/>
      <c r="Q1104" s="2"/>
      <c r="R1104" s="2"/>
      <c r="S1104" s="1" t="str">
        <f t="shared" si="53"/>
        <v/>
      </c>
    </row>
    <row r="1105" spans="1:19" hidden="1" x14ac:dyDescent="0.25">
      <c r="A1105" s="2"/>
      <c r="H1105" s="1" t="str">
        <f t="shared" ca="1" si="51"/>
        <v/>
      </c>
      <c r="M1105" s="2"/>
      <c r="N1105" s="1" t="str">
        <f t="shared" si="52"/>
        <v/>
      </c>
      <c r="O1105" s="2"/>
      <c r="P1105" s="2"/>
      <c r="Q1105" s="2"/>
      <c r="R1105" s="2"/>
      <c r="S1105" s="1" t="str">
        <f t="shared" si="53"/>
        <v/>
      </c>
    </row>
    <row r="1106" spans="1:19" hidden="1" x14ac:dyDescent="0.25">
      <c r="A1106" s="2"/>
      <c r="H1106" s="1" t="str">
        <f t="shared" ca="1" si="51"/>
        <v/>
      </c>
      <c r="M1106" s="2"/>
      <c r="N1106" s="1" t="str">
        <f t="shared" si="52"/>
        <v/>
      </c>
      <c r="O1106" s="2"/>
      <c r="P1106" s="2"/>
      <c r="Q1106" s="2"/>
      <c r="R1106" s="2"/>
      <c r="S1106" s="1" t="str">
        <f t="shared" si="53"/>
        <v/>
      </c>
    </row>
    <row r="1107" spans="1:19" hidden="1" x14ac:dyDescent="0.25">
      <c r="A1107" s="2"/>
      <c r="H1107" s="1" t="str">
        <f t="shared" ca="1" si="51"/>
        <v/>
      </c>
      <c r="M1107" s="2"/>
      <c r="N1107" s="1" t="str">
        <f t="shared" si="52"/>
        <v/>
      </c>
      <c r="O1107" s="2"/>
      <c r="P1107" s="2"/>
      <c r="Q1107" s="2"/>
      <c r="R1107" s="2"/>
      <c r="S1107" s="1" t="str">
        <f t="shared" si="53"/>
        <v/>
      </c>
    </row>
    <row r="1108" spans="1:19" hidden="1" x14ac:dyDescent="0.25">
      <c r="A1108" s="2"/>
      <c r="H1108" s="1" t="str">
        <f t="shared" ca="1" si="51"/>
        <v/>
      </c>
      <c r="M1108" s="2"/>
      <c r="N1108" s="1" t="str">
        <f t="shared" si="52"/>
        <v/>
      </c>
      <c r="O1108" s="2"/>
      <c r="P1108" s="2"/>
      <c r="Q1108" s="2"/>
      <c r="R1108" s="2"/>
      <c r="S1108" s="1" t="str">
        <f t="shared" si="53"/>
        <v/>
      </c>
    </row>
    <row r="1109" spans="1:19" hidden="1" x14ac:dyDescent="0.25">
      <c r="A1109" s="2"/>
      <c r="H1109" s="1" t="str">
        <f t="shared" ca="1" si="51"/>
        <v/>
      </c>
      <c r="M1109" s="2"/>
      <c r="N1109" s="1" t="str">
        <f t="shared" si="52"/>
        <v/>
      </c>
      <c r="O1109" s="2"/>
      <c r="P1109" s="2"/>
      <c r="Q1109" s="2"/>
      <c r="R1109" s="2"/>
      <c r="S1109" s="1" t="str">
        <f t="shared" si="53"/>
        <v/>
      </c>
    </row>
    <row r="1110" spans="1:19" hidden="1" x14ac:dyDescent="0.25">
      <c r="A1110" s="2"/>
      <c r="H1110" s="1" t="str">
        <f t="shared" ca="1" si="51"/>
        <v/>
      </c>
      <c r="M1110" s="2"/>
      <c r="N1110" s="1" t="str">
        <f t="shared" si="52"/>
        <v/>
      </c>
      <c r="O1110" s="2"/>
      <c r="P1110" s="2"/>
      <c r="Q1110" s="2"/>
      <c r="R1110" s="2"/>
      <c r="S1110" s="1" t="str">
        <f t="shared" si="53"/>
        <v/>
      </c>
    </row>
    <row r="1111" spans="1:19" hidden="1" x14ac:dyDescent="0.25">
      <c r="A1111" s="2"/>
      <c r="H1111" s="1" t="str">
        <f t="shared" ca="1" si="51"/>
        <v/>
      </c>
      <c r="M1111" s="2"/>
      <c r="N1111" s="1" t="str">
        <f t="shared" si="52"/>
        <v/>
      </c>
      <c r="O1111" s="2"/>
      <c r="P1111" s="2"/>
      <c r="Q1111" s="2"/>
      <c r="R1111" s="2"/>
      <c r="S1111" s="1" t="str">
        <f t="shared" si="53"/>
        <v/>
      </c>
    </row>
    <row r="1112" spans="1:19" hidden="1" x14ac:dyDescent="0.25">
      <c r="A1112" s="2"/>
      <c r="H1112" s="1" t="str">
        <f t="shared" ca="1" si="51"/>
        <v/>
      </c>
      <c r="M1112" s="2"/>
      <c r="N1112" s="1" t="str">
        <f t="shared" si="52"/>
        <v/>
      </c>
      <c r="O1112" s="2"/>
      <c r="P1112" s="2"/>
      <c r="Q1112" s="2"/>
      <c r="R1112" s="2"/>
      <c r="S1112" s="1" t="str">
        <f t="shared" si="53"/>
        <v/>
      </c>
    </row>
    <row r="1113" spans="1:19" hidden="1" x14ac:dyDescent="0.25">
      <c r="A1113" s="2"/>
      <c r="H1113" s="1" t="str">
        <f t="shared" ca="1" si="51"/>
        <v/>
      </c>
      <c r="M1113" s="2"/>
      <c r="N1113" s="1" t="str">
        <f t="shared" si="52"/>
        <v/>
      </c>
      <c r="O1113" s="2"/>
      <c r="P1113" s="2"/>
      <c r="Q1113" s="2"/>
      <c r="R1113" s="2"/>
      <c r="S1113" s="1" t="str">
        <f t="shared" si="53"/>
        <v/>
      </c>
    </row>
    <row r="1114" spans="1:19" hidden="1" x14ac:dyDescent="0.25">
      <c r="A1114" s="2"/>
      <c r="H1114" s="1" t="str">
        <f t="shared" ca="1" si="51"/>
        <v/>
      </c>
      <c r="M1114" s="2"/>
      <c r="N1114" s="1" t="str">
        <f t="shared" si="52"/>
        <v/>
      </c>
      <c r="O1114" s="2"/>
      <c r="P1114" s="2"/>
      <c r="Q1114" s="2"/>
      <c r="R1114" s="2"/>
      <c r="S1114" s="1" t="str">
        <f t="shared" si="53"/>
        <v/>
      </c>
    </row>
    <row r="1115" spans="1:19" hidden="1" x14ac:dyDescent="0.25">
      <c r="A1115" s="2"/>
      <c r="H1115" s="1" t="str">
        <f t="shared" ca="1" si="51"/>
        <v/>
      </c>
      <c r="M1115" s="2"/>
      <c r="N1115" s="1" t="str">
        <f t="shared" si="52"/>
        <v/>
      </c>
      <c r="O1115" s="2"/>
      <c r="P1115" s="2"/>
      <c r="Q1115" s="2"/>
      <c r="R1115" s="2"/>
      <c r="S1115" s="1" t="str">
        <f t="shared" si="53"/>
        <v/>
      </c>
    </row>
    <row r="1116" spans="1:19" hidden="1" x14ac:dyDescent="0.25">
      <c r="A1116" s="2"/>
      <c r="H1116" s="1" t="str">
        <f t="shared" ca="1" si="51"/>
        <v/>
      </c>
      <c r="M1116" s="2"/>
      <c r="N1116" s="1" t="str">
        <f t="shared" si="52"/>
        <v/>
      </c>
      <c r="O1116" s="2"/>
      <c r="P1116" s="2"/>
      <c r="Q1116" s="2"/>
      <c r="R1116" s="2"/>
      <c r="S1116" s="1" t="str">
        <f t="shared" si="53"/>
        <v/>
      </c>
    </row>
    <row r="1117" spans="1:19" hidden="1" x14ac:dyDescent="0.25">
      <c r="A1117" s="2"/>
      <c r="H1117" s="1" t="str">
        <f t="shared" ca="1" si="51"/>
        <v/>
      </c>
      <c r="M1117" s="2"/>
      <c r="N1117" s="1" t="str">
        <f t="shared" si="52"/>
        <v/>
      </c>
      <c r="O1117" s="2"/>
      <c r="P1117" s="2"/>
      <c r="Q1117" s="2"/>
      <c r="R1117" s="2"/>
      <c r="S1117" s="1" t="str">
        <f t="shared" si="53"/>
        <v/>
      </c>
    </row>
    <row r="1118" spans="1:19" hidden="1" x14ac:dyDescent="0.25">
      <c r="A1118" s="2"/>
      <c r="H1118" s="1" t="str">
        <f t="shared" ca="1" si="51"/>
        <v/>
      </c>
      <c r="M1118" s="2"/>
      <c r="N1118" s="1" t="str">
        <f t="shared" si="52"/>
        <v/>
      </c>
      <c r="O1118" s="2"/>
      <c r="P1118" s="2"/>
      <c r="Q1118" s="2"/>
      <c r="R1118" s="2"/>
      <c r="S1118" s="1" t="str">
        <f t="shared" si="53"/>
        <v/>
      </c>
    </row>
    <row r="1119" spans="1:19" hidden="1" x14ac:dyDescent="0.25">
      <c r="A1119" s="2"/>
      <c r="H1119" s="1" t="str">
        <f t="shared" ca="1" si="51"/>
        <v/>
      </c>
      <c r="M1119" s="2"/>
      <c r="N1119" s="1" t="str">
        <f t="shared" si="52"/>
        <v/>
      </c>
      <c r="O1119" s="2"/>
      <c r="P1119" s="2"/>
      <c r="Q1119" s="2"/>
      <c r="R1119" s="2"/>
      <c r="S1119" s="1" t="str">
        <f t="shared" si="53"/>
        <v/>
      </c>
    </row>
    <row r="1120" spans="1:19" hidden="1" x14ac:dyDescent="0.25">
      <c r="A1120" s="2"/>
      <c r="H1120" s="1" t="str">
        <f t="shared" ca="1" si="51"/>
        <v/>
      </c>
      <c r="M1120" s="2"/>
      <c r="N1120" s="1" t="str">
        <f t="shared" si="52"/>
        <v/>
      </c>
      <c r="O1120" s="2"/>
      <c r="P1120" s="2"/>
      <c r="Q1120" s="2"/>
      <c r="R1120" s="2"/>
      <c r="S1120" s="1" t="str">
        <f t="shared" si="53"/>
        <v/>
      </c>
    </row>
    <row r="1121" spans="1:19" hidden="1" x14ac:dyDescent="0.25">
      <c r="A1121" s="2"/>
      <c r="H1121" s="1" t="str">
        <f t="shared" ca="1" si="51"/>
        <v/>
      </c>
      <c r="M1121" s="2"/>
      <c r="N1121" s="1" t="str">
        <f t="shared" si="52"/>
        <v/>
      </c>
      <c r="O1121" s="2"/>
      <c r="P1121" s="2"/>
      <c r="Q1121" s="2"/>
      <c r="R1121" s="2"/>
      <c r="S1121" s="1" t="str">
        <f t="shared" si="53"/>
        <v/>
      </c>
    </row>
    <row r="1122" spans="1:19" hidden="1" x14ac:dyDescent="0.25"/>
    <row r="1123" spans="1:19" hidden="1" x14ac:dyDescent="0.25"/>
    <row r="1124" spans="1:19" hidden="1" x14ac:dyDescent="0.25"/>
    <row r="1125" spans="1:19" hidden="1" x14ac:dyDescent="0.25"/>
    <row r="1126" spans="1:19" hidden="1" x14ac:dyDescent="0.25"/>
    <row r="1127" spans="1:19" hidden="1" x14ac:dyDescent="0.25"/>
    <row r="1128" spans="1:19" hidden="1" x14ac:dyDescent="0.25"/>
    <row r="1129" spans="1:19" hidden="1" x14ac:dyDescent="0.25"/>
    <row r="1130" spans="1:19" hidden="1" x14ac:dyDescent="0.25"/>
    <row r="1131" spans="1:19" hidden="1" x14ac:dyDescent="0.25"/>
    <row r="1132" spans="1:19" hidden="1" x14ac:dyDescent="0.25"/>
    <row r="1133" spans="1:19" hidden="1" x14ac:dyDescent="0.25"/>
    <row r="1134" spans="1:19" hidden="1" x14ac:dyDescent="0.25"/>
    <row r="1135" spans="1:19" hidden="1" x14ac:dyDescent="0.25"/>
    <row r="1136" spans="1:19" hidden="1" x14ac:dyDescent="0.25"/>
    <row r="1137" hidden="1" x14ac:dyDescent="0.25"/>
    <row r="1138" hidden="1" x14ac:dyDescent="0.25"/>
    <row r="1139" hidden="1" x14ac:dyDescent="0.25"/>
    <row r="1140" hidden="1" x14ac:dyDescent="0.25"/>
    <row r="1141" hidden="1" x14ac:dyDescent="0.25"/>
    <row r="1142" hidden="1" x14ac:dyDescent="0.25"/>
    <row r="1143" hidden="1" x14ac:dyDescent="0.25"/>
    <row r="1144" hidden="1" x14ac:dyDescent="0.25"/>
    <row r="1145" hidden="1" x14ac:dyDescent="0.25"/>
    <row r="1146" hidden="1" x14ac:dyDescent="0.25"/>
    <row r="1147" hidden="1" x14ac:dyDescent="0.25"/>
    <row r="1148" hidden="1" x14ac:dyDescent="0.25"/>
    <row r="1149" hidden="1" x14ac:dyDescent="0.25"/>
    <row r="1150" hidden="1" x14ac:dyDescent="0.25"/>
    <row r="1151" hidden="1" x14ac:dyDescent="0.25"/>
    <row r="1152" hidden="1" x14ac:dyDescent="0.25"/>
    <row r="1153" hidden="1" x14ac:dyDescent="0.25"/>
    <row r="1154" hidden="1" x14ac:dyDescent="0.25"/>
    <row r="1155" hidden="1" x14ac:dyDescent="0.25"/>
    <row r="1156" hidden="1" x14ac:dyDescent="0.25"/>
    <row r="1157" hidden="1" x14ac:dyDescent="0.25"/>
    <row r="1158" hidden="1" x14ac:dyDescent="0.25"/>
    <row r="1159" hidden="1" x14ac:dyDescent="0.25"/>
    <row r="1160" hidden="1" x14ac:dyDescent="0.25"/>
    <row r="1161" hidden="1" x14ac:dyDescent="0.25"/>
    <row r="1162" hidden="1" x14ac:dyDescent="0.25"/>
    <row r="1163" hidden="1" x14ac:dyDescent="0.25"/>
    <row r="1164" hidden="1" x14ac:dyDescent="0.25"/>
    <row r="1165" hidden="1" x14ac:dyDescent="0.25"/>
    <row r="1166" hidden="1" x14ac:dyDescent="0.25"/>
    <row r="1167" hidden="1" x14ac:dyDescent="0.25"/>
    <row r="1168" hidden="1" x14ac:dyDescent="0.25"/>
    <row r="1169" hidden="1" x14ac:dyDescent="0.25"/>
    <row r="1170" hidden="1" x14ac:dyDescent="0.25"/>
    <row r="1171" hidden="1" x14ac:dyDescent="0.25"/>
    <row r="1172" hidden="1" x14ac:dyDescent="0.25"/>
    <row r="1173" hidden="1" x14ac:dyDescent="0.25"/>
    <row r="1174" hidden="1" x14ac:dyDescent="0.25"/>
    <row r="1175" hidden="1" x14ac:dyDescent="0.25"/>
    <row r="1176" hidden="1" x14ac:dyDescent="0.25"/>
    <row r="1177" hidden="1" x14ac:dyDescent="0.25"/>
    <row r="1178" hidden="1" x14ac:dyDescent="0.25"/>
    <row r="1179" hidden="1" x14ac:dyDescent="0.25"/>
    <row r="1180" hidden="1" x14ac:dyDescent="0.25"/>
    <row r="1181" hidden="1" x14ac:dyDescent="0.25"/>
    <row r="1182" hidden="1" x14ac:dyDescent="0.25"/>
    <row r="1183" hidden="1" x14ac:dyDescent="0.25"/>
    <row r="1184" hidden="1" x14ac:dyDescent="0.25"/>
    <row r="1185" hidden="1" x14ac:dyDescent="0.25"/>
    <row r="1186" hidden="1" x14ac:dyDescent="0.25"/>
    <row r="1187" hidden="1" x14ac:dyDescent="0.25"/>
    <row r="1188" hidden="1" x14ac:dyDescent="0.25"/>
    <row r="1189" hidden="1" x14ac:dyDescent="0.25"/>
    <row r="1190" hidden="1" x14ac:dyDescent="0.25"/>
    <row r="1191" hidden="1" x14ac:dyDescent="0.25"/>
    <row r="1192" hidden="1" x14ac:dyDescent="0.25"/>
    <row r="1193" hidden="1" x14ac:dyDescent="0.25"/>
    <row r="1194" hidden="1" x14ac:dyDescent="0.25"/>
    <row r="1195" hidden="1" x14ac:dyDescent="0.25"/>
    <row r="1196" hidden="1" x14ac:dyDescent="0.25"/>
    <row r="1197" hidden="1" x14ac:dyDescent="0.25"/>
    <row r="1198" hidden="1" x14ac:dyDescent="0.25"/>
    <row r="1199" hidden="1" x14ac:dyDescent="0.25"/>
    <row r="1200" hidden="1" x14ac:dyDescent="0.25"/>
    <row r="1201" hidden="1" x14ac:dyDescent="0.25"/>
    <row r="1202" hidden="1" x14ac:dyDescent="0.25"/>
    <row r="1203" hidden="1" x14ac:dyDescent="0.25"/>
    <row r="1204" hidden="1" x14ac:dyDescent="0.25"/>
    <row r="1205" hidden="1" x14ac:dyDescent="0.25"/>
    <row r="1206" hidden="1" x14ac:dyDescent="0.25"/>
    <row r="1207" hidden="1" x14ac:dyDescent="0.25"/>
    <row r="1208" hidden="1" x14ac:dyDescent="0.25"/>
    <row r="1209" hidden="1" x14ac:dyDescent="0.25"/>
    <row r="1210" hidden="1" x14ac:dyDescent="0.25"/>
    <row r="1211" hidden="1" x14ac:dyDescent="0.25"/>
    <row r="1212" hidden="1" x14ac:dyDescent="0.25"/>
    <row r="1213" hidden="1" x14ac:dyDescent="0.25"/>
    <row r="1214" hidden="1" x14ac:dyDescent="0.25"/>
    <row r="1215" hidden="1" x14ac:dyDescent="0.25"/>
    <row r="1216" hidden="1" x14ac:dyDescent="0.25"/>
    <row r="1217" hidden="1" x14ac:dyDescent="0.25"/>
    <row r="1218" hidden="1" x14ac:dyDescent="0.25"/>
    <row r="1219" hidden="1" x14ac:dyDescent="0.25"/>
    <row r="1220" hidden="1" x14ac:dyDescent="0.25"/>
    <row r="1221" hidden="1" x14ac:dyDescent="0.25"/>
    <row r="1222" hidden="1" x14ac:dyDescent="0.25"/>
    <row r="1223" hidden="1" x14ac:dyDescent="0.25"/>
    <row r="1224" hidden="1" x14ac:dyDescent="0.25"/>
    <row r="1225" hidden="1" x14ac:dyDescent="0.25"/>
    <row r="1226" hidden="1" x14ac:dyDescent="0.25"/>
    <row r="1227" hidden="1" x14ac:dyDescent="0.25"/>
    <row r="1228" hidden="1" x14ac:dyDescent="0.25"/>
    <row r="1229" hidden="1" x14ac:dyDescent="0.25"/>
    <row r="1230" hidden="1" x14ac:dyDescent="0.25"/>
    <row r="1231" hidden="1" x14ac:dyDescent="0.25"/>
    <row r="1232" hidden="1" x14ac:dyDescent="0.25"/>
    <row r="1233" hidden="1" x14ac:dyDescent="0.25"/>
    <row r="1234" hidden="1" x14ac:dyDescent="0.25"/>
    <row r="1235" hidden="1" x14ac:dyDescent="0.25"/>
    <row r="1236" hidden="1" x14ac:dyDescent="0.25"/>
    <row r="1237" hidden="1" x14ac:dyDescent="0.25"/>
    <row r="1238" hidden="1" x14ac:dyDescent="0.25"/>
    <row r="1239" hidden="1" x14ac:dyDescent="0.25"/>
    <row r="1240" hidden="1" x14ac:dyDescent="0.25"/>
    <row r="1241" hidden="1" x14ac:dyDescent="0.25"/>
    <row r="1242" hidden="1" x14ac:dyDescent="0.25"/>
    <row r="1243" hidden="1" x14ac:dyDescent="0.25"/>
    <row r="1244" hidden="1" x14ac:dyDescent="0.25"/>
    <row r="1245" hidden="1" x14ac:dyDescent="0.25"/>
    <row r="1246" hidden="1" x14ac:dyDescent="0.25"/>
    <row r="1247" hidden="1" x14ac:dyDescent="0.25"/>
    <row r="1248" hidden="1" x14ac:dyDescent="0.25"/>
    <row r="1249" hidden="1" x14ac:dyDescent="0.25"/>
    <row r="1250" hidden="1" x14ac:dyDescent="0.25"/>
    <row r="1251" hidden="1" x14ac:dyDescent="0.25"/>
    <row r="1252" hidden="1" x14ac:dyDescent="0.25"/>
    <row r="1253" hidden="1" x14ac:dyDescent="0.25"/>
    <row r="1254" hidden="1" x14ac:dyDescent="0.25"/>
    <row r="1255" hidden="1" x14ac:dyDescent="0.25"/>
    <row r="1256" hidden="1" x14ac:dyDescent="0.25"/>
    <row r="1257" hidden="1" x14ac:dyDescent="0.25"/>
    <row r="1258" hidden="1" x14ac:dyDescent="0.25"/>
    <row r="1259" hidden="1" x14ac:dyDescent="0.25"/>
    <row r="1260" hidden="1" x14ac:dyDescent="0.25"/>
    <row r="1261" hidden="1" x14ac:dyDescent="0.25"/>
    <row r="1262" hidden="1" x14ac:dyDescent="0.25"/>
    <row r="1263" hidden="1" x14ac:dyDescent="0.25"/>
    <row r="1264" hidden="1" x14ac:dyDescent="0.25"/>
    <row r="1265" hidden="1" x14ac:dyDescent="0.25"/>
    <row r="1266" hidden="1" x14ac:dyDescent="0.25"/>
    <row r="1267" hidden="1" x14ac:dyDescent="0.25"/>
    <row r="1268" hidden="1" x14ac:dyDescent="0.25"/>
    <row r="1269" hidden="1" x14ac:dyDescent="0.25"/>
    <row r="1270" hidden="1" x14ac:dyDescent="0.25"/>
    <row r="1271" hidden="1" x14ac:dyDescent="0.25"/>
    <row r="1272" hidden="1" x14ac:dyDescent="0.25"/>
    <row r="1273" hidden="1" x14ac:dyDescent="0.25"/>
    <row r="1274" hidden="1" x14ac:dyDescent="0.25"/>
    <row r="1275" hidden="1" x14ac:dyDescent="0.25"/>
    <row r="1276" hidden="1" x14ac:dyDescent="0.25"/>
    <row r="1277" hidden="1" x14ac:dyDescent="0.25"/>
    <row r="1278" hidden="1" x14ac:dyDescent="0.25"/>
    <row r="1279" hidden="1" x14ac:dyDescent="0.25"/>
    <row r="1280" hidden="1" x14ac:dyDescent="0.25"/>
    <row r="1281" hidden="1" x14ac:dyDescent="0.25"/>
    <row r="1282" hidden="1" x14ac:dyDescent="0.25"/>
    <row r="1283" hidden="1" x14ac:dyDescent="0.25"/>
    <row r="1284" hidden="1" x14ac:dyDescent="0.25"/>
    <row r="1285" hidden="1" x14ac:dyDescent="0.25"/>
    <row r="1286" hidden="1" x14ac:dyDescent="0.25"/>
    <row r="1287" hidden="1" x14ac:dyDescent="0.25"/>
    <row r="1288" hidden="1" x14ac:dyDescent="0.25"/>
    <row r="1289" hidden="1" x14ac:dyDescent="0.25"/>
    <row r="1290" hidden="1" x14ac:dyDescent="0.25"/>
    <row r="1291" hidden="1" x14ac:dyDescent="0.25"/>
    <row r="1292" hidden="1" x14ac:dyDescent="0.25"/>
    <row r="1293" hidden="1" x14ac:dyDescent="0.25"/>
    <row r="1294" hidden="1" x14ac:dyDescent="0.25"/>
    <row r="1295" hidden="1" x14ac:dyDescent="0.25"/>
    <row r="1296" hidden="1" x14ac:dyDescent="0.25"/>
    <row r="1297" hidden="1" x14ac:dyDescent="0.25"/>
    <row r="1298" hidden="1" x14ac:dyDescent="0.25"/>
    <row r="1299" hidden="1" x14ac:dyDescent="0.25"/>
    <row r="1300" hidden="1" x14ac:dyDescent="0.25"/>
    <row r="1301" hidden="1" x14ac:dyDescent="0.25"/>
    <row r="1302" hidden="1" x14ac:dyDescent="0.25"/>
    <row r="1303" hidden="1" x14ac:dyDescent="0.25"/>
    <row r="1304" hidden="1" x14ac:dyDescent="0.25"/>
    <row r="1305" hidden="1" x14ac:dyDescent="0.25"/>
    <row r="1306" hidden="1" x14ac:dyDescent="0.25"/>
    <row r="1307" hidden="1" x14ac:dyDescent="0.25"/>
    <row r="1308" hidden="1" x14ac:dyDescent="0.25"/>
    <row r="1309" hidden="1" x14ac:dyDescent="0.25"/>
    <row r="1310" hidden="1" x14ac:dyDescent="0.25"/>
    <row r="1311" hidden="1" x14ac:dyDescent="0.25"/>
    <row r="1312" hidden="1" x14ac:dyDescent="0.25"/>
    <row r="1313" hidden="1" x14ac:dyDescent="0.25"/>
    <row r="1314" hidden="1" x14ac:dyDescent="0.25"/>
    <row r="1315" hidden="1" x14ac:dyDescent="0.25"/>
    <row r="1316" hidden="1" x14ac:dyDescent="0.25"/>
    <row r="1317" hidden="1" x14ac:dyDescent="0.25"/>
    <row r="1318" hidden="1" x14ac:dyDescent="0.25"/>
    <row r="1319" hidden="1" x14ac:dyDescent="0.25"/>
    <row r="1320" hidden="1" x14ac:dyDescent="0.25"/>
    <row r="1321" hidden="1" x14ac:dyDescent="0.25"/>
    <row r="1322" hidden="1" x14ac:dyDescent="0.25"/>
    <row r="1323" hidden="1" x14ac:dyDescent="0.25"/>
    <row r="1324" hidden="1" x14ac:dyDescent="0.25"/>
    <row r="1325" hidden="1" x14ac:dyDescent="0.25"/>
    <row r="1326" hidden="1" x14ac:dyDescent="0.25"/>
    <row r="1327" hidden="1" x14ac:dyDescent="0.25"/>
    <row r="1328" hidden="1" x14ac:dyDescent="0.25"/>
    <row r="1329" hidden="1" x14ac:dyDescent="0.25"/>
    <row r="1330" hidden="1" x14ac:dyDescent="0.25"/>
    <row r="1331" hidden="1" x14ac:dyDescent="0.25"/>
    <row r="1332" hidden="1" x14ac:dyDescent="0.25"/>
    <row r="1333" hidden="1" x14ac:dyDescent="0.25"/>
    <row r="1334" hidden="1" x14ac:dyDescent="0.25"/>
    <row r="1335" hidden="1" x14ac:dyDescent="0.25"/>
    <row r="1336" hidden="1" x14ac:dyDescent="0.25"/>
    <row r="1337" hidden="1" x14ac:dyDescent="0.25"/>
    <row r="1338" hidden="1" x14ac:dyDescent="0.25"/>
    <row r="1339" hidden="1" x14ac:dyDescent="0.25"/>
    <row r="1340" hidden="1" x14ac:dyDescent="0.25"/>
    <row r="1341" hidden="1" x14ac:dyDescent="0.25"/>
    <row r="1342" hidden="1" x14ac:dyDescent="0.25"/>
    <row r="1343" hidden="1" x14ac:dyDescent="0.25"/>
    <row r="1344" hidden="1" x14ac:dyDescent="0.25"/>
    <row r="1345" hidden="1" x14ac:dyDescent="0.25"/>
    <row r="1346" hidden="1" x14ac:dyDescent="0.25"/>
    <row r="1347" hidden="1" x14ac:dyDescent="0.25"/>
    <row r="1348" hidden="1" x14ac:dyDescent="0.25"/>
    <row r="1349" hidden="1" x14ac:dyDescent="0.25"/>
    <row r="1350" hidden="1" x14ac:dyDescent="0.25"/>
    <row r="1351" hidden="1" x14ac:dyDescent="0.25"/>
    <row r="1352" hidden="1" x14ac:dyDescent="0.25"/>
    <row r="1353" hidden="1" x14ac:dyDescent="0.25"/>
    <row r="1354" hidden="1" x14ac:dyDescent="0.25"/>
    <row r="1355" hidden="1" x14ac:dyDescent="0.25"/>
    <row r="1356" hidden="1" x14ac:dyDescent="0.25"/>
    <row r="1357" hidden="1" x14ac:dyDescent="0.25"/>
    <row r="1358" hidden="1" x14ac:dyDescent="0.25"/>
    <row r="1359" hidden="1" x14ac:dyDescent="0.25"/>
    <row r="1360" hidden="1" x14ac:dyDescent="0.25"/>
    <row r="1361" hidden="1" x14ac:dyDescent="0.25"/>
    <row r="1362" hidden="1" x14ac:dyDescent="0.25"/>
    <row r="1363" hidden="1" x14ac:dyDescent="0.25"/>
    <row r="1364" hidden="1" x14ac:dyDescent="0.25"/>
    <row r="1365" hidden="1" x14ac:dyDescent="0.25"/>
    <row r="1366" hidden="1" x14ac:dyDescent="0.25"/>
    <row r="1367" hidden="1" x14ac:dyDescent="0.25"/>
    <row r="1368" hidden="1" x14ac:dyDescent="0.25"/>
    <row r="1369" hidden="1" x14ac:dyDescent="0.25"/>
    <row r="1370" hidden="1" x14ac:dyDescent="0.25"/>
    <row r="1371" hidden="1" x14ac:dyDescent="0.25"/>
    <row r="1372" hidden="1" x14ac:dyDescent="0.25"/>
    <row r="1373" hidden="1" x14ac:dyDescent="0.25"/>
    <row r="1374" hidden="1" x14ac:dyDescent="0.25"/>
    <row r="1375" hidden="1" x14ac:dyDescent="0.25"/>
    <row r="1376" hidden="1" x14ac:dyDescent="0.25"/>
    <row r="1377" hidden="1" x14ac:dyDescent="0.25"/>
    <row r="1378" hidden="1" x14ac:dyDescent="0.25"/>
    <row r="1379" hidden="1" x14ac:dyDescent="0.25"/>
    <row r="1380" hidden="1" x14ac:dyDescent="0.25"/>
    <row r="1381" hidden="1" x14ac:dyDescent="0.25"/>
    <row r="1382" hidden="1" x14ac:dyDescent="0.25"/>
    <row r="1383" hidden="1" x14ac:dyDescent="0.25"/>
    <row r="1384" hidden="1" x14ac:dyDescent="0.25"/>
    <row r="1385" hidden="1" x14ac:dyDescent="0.25"/>
    <row r="1386" hidden="1" x14ac:dyDescent="0.25"/>
    <row r="1387" hidden="1" x14ac:dyDescent="0.25"/>
    <row r="1388" hidden="1" x14ac:dyDescent="0.25"/>
    <row r="1389" hidden="1" x14ac:dyDescent="0.25"/>
    <row r="1390" hidden="1" x14ac:dyDescent="0.25"/>
    <row r="1391" hidden="1" x14ac:dyDescent="0.25"/>
    <row r="1392" hidden="1" x14ac:dyDescent="0.25"/>
    <row r="1393" hidden="1" x14ac:dyDescent="0.25"/>
    <row r="1394" hidden="1" x14ac:dyDescent="0.25"/>
    <row r="1395" hidden="1" x14ac:dyDescent="0.25"/>
    <row r="1396" hidden="1" x14ac:dyDescent="0.25"/>
    <row r="1397" hidden="1" x14ac:dyDescent="0.25"/>
    <row r="1398" hidden="1" x14ac:dyDescent="0.25"/>
    <row r="1399" hidden="1" x14ac:dyDescent="0.25"/>
    <row r="1400" hidden="1" x14ac:dyDescent="0.25"/>
    <row r="1401" hidden="1" x14ac:dyDescent="0.25"/>
    <row r="1402" hidden="1" x14ac:dyDescent="0.25"/>
    <row r="1403" hidden="1" x14ac:dyDescent="0.25"/>
    <row r="1404" hidden="1" x14ac:dyDescent="0.25"/>
    <row r="1405" hidden="1" x14ac:dyDescent="0.25"/>
    <row r="1406" hidden="1" x14ac:dyDescent="0.25"/>
    <row r="1407" hidden="1" x14ac:dyDescent="0.25"/>
    <row r="1408" hidden="1" x14ac:dyDescent="0.25"/>
    <row r="1409" hidden="1" x14ac:dyDescent="0.25"/>
    <row r="1410" hidden="1" x14ac:dyDescent="0.25"/>
    <row r="1411" hidden="1" x14ac:dyDescent="0.25"/>
    <row r="1412" hidden="1" x14ac:dyDescent="0.25"/>
    <row r="1413" hidden="1" x14ac:dyDescent="0.25"/>
    <row r="1414" hidden="1" x14ac:dyDescent="0.25"/>
    <row r="1415" hidden="1" x14ac:dyDescent="0.25"/>
    <row r="1416" hidden="1" x14ac:dyDescent="0.25"/>
    <row r="1417" hidden="1" x14ac:dyDescent="0.25"/>
    <row r="1418" hidden="1" x14ac:dyDescent="0.25"/>
    <row r="1419" hidden="1" x14ac:dyDescent="0.25"/>
    <row r="1420" hidden="1" x14ac:dyDescent="0.25"/>
    <row r="1421" hidden="1" x14ac:dyDescent="0.25"/>
    <row r="1422" hidden="1" x14ac:dyDescent="0.25"/>
    <row r="1423" hidden="1" x14ac:dyDescent="0.25"/>
    <row r="1424" hidden="1" x14ac:dyDescent="0.25"/>
    <row r="1425" hidden="1" x14ac:dyDescent="0.25"/>
    <row r="1426" hidden="1" x14ac:dyDescent="0.25"/>
    <row r="1427" hidden="1" x14ac:dyDescent="0.25"/>
    <row r="1428" hidden="1" x14ac:dyDescent="0.25"/>
    <row r="1429" hidden="1" x14ac:dyDescent="0.25"/>
    <row r="1430" hidden="1" x14ac:dyDescent="0.25"/>
    <row r="1431" hidden="1" x14ac:dyDescent="0.25"/>
    <row r="1432" hidden="1" x14ac:dyDescent="0.25"/>
    <row r="1433" hidden="1" x14ac:dyDescent="0.25"/>
    <row r="1434" hidden="1" x14ac:dyDescent="0.25"/>
    <row r="1435" hidden="1" x14ac:dyDescent="0.25"/>
    <row r="1436" hidden="1" x14ac:dyDescent="0.25"/>
    <row r="1437" hidden="1" x14ac:dyDescent="0.25"/>
    <row r="1438" hidden="1" x14ac:dyDescent="0.25"/>
    <row r="1439" hidden="1" x14ac:dyDescent="0.25"/>
    <row r="1440" hidden="1" x14ac:dyDescent="0.25"/>
    <row r="1441" hidden="1" x14ac:dyDescent="0.25"/>
    <row r="1442" hidden="1" x14ac:dyDescent="0.25"/>
    <row r="1443" hidden="1" x14ac:dyDescent="0.25"/>
    <row r="1444" hidden="1" x14ac:dyDescent="0.25"/>
    <row r="1445" hidden="1" x14ac:dyDescent="0.25"/>
    <row r="1446" hidden="1" x14ac:dyDescent="0.25"/>
    <row r="1447" hidden="1" x14ac:dyDescent="0.25"/>
    <row r="1448" hidden="1" x14ac:dyDescent="0.25"/>
    <row r="1449" hidden="1" x14ac:dyDescent="0.25"/>
    <row r="1450" hidden="1" x14ac:dyDescent="0.25"/>
    <row r="1451" hidden="1" x14ac:dyDescent="0.25"/>
    <row r="1452" hidden="1" x14ac:dyDescent="0.25"/>
    <row r="1453" hidden="1" x14ac:dyDescent="0.25"/>
    <row r="1454" hidden="1" x14ac:dyDescent="0.25"/>
    <row r="1455" hidden="1" x14ac:dyDescent="0.25"/>
    <row r="1456" hidden="1" x14ac:dyDescent="0.25"/>
    <row r="1457" hidden="1" x14ac:dyDescent="0.25"/>
    <row r="1458" hidden="1" x14ac:dyDescent="0.25"/>
    <row r="1459" hidden="1" x14ac:dyDescent="0.25"/>
    <row r="1460" hidden="1" x14ac:dyDescent="0.25"/>
    <row r="1461" hidden="1" x14ac:dyDescent="0.25"/>
    <row r="1462" hidden="1" x14ac:dyDescent="0.25"/>
    <row r="1463" hidden="1" x14ac:dyDescent="0.25"/>
    <row r="1464" hidden="1" x14ac:dyDescent="0.25"/>
    <row r="1465" hidden="1" x14ac:dyDescent="0.25"/>
    <row r="1466" hidden="1" x14ac:dyDescent="0.25"/>
    <row r="1467" hidden="1" x14ac:dyDescent="0.25"/>
    <row r="1468" hidden="1" x14ac:dyDescent="0.25"/>
    <row r="1469" hidden="1" x14ac:dyDescent="0.25"/>
    <row r="1470" x14ac:dyDescent="0.25"/>
    <row r="1471" x14ac:dyDescent="0.25"/>
    <row r="1472" x14ac:dyDescent="0.25"/>
    <row r="1473" x14ac:dyDescent="0.25"/>
    <row r="1474" x14ac:dyDescent="0.25"/>
    <row r="1475" x14ac:dyDescent="0.25"/>
    <row r="1476" x14ac:dyDescent="0.25"/>
    <row r="1477" x14ac:dyDescent="0.25"/>
    <row r="1478" hidden="1" x14ac:dyDescent="0.25"/>
    <row r="1479" hidden="1" x14ac:dyDescent="0.25"/>
    <row r="1480" hidden="1" x14ac:dyDescent="0.25"/>
    <row r="1481" hidden="1" x14ac:dyDescent="0.25"/>
    <row r="1482" hidden="1" x14ac:dyDescent="0.25"/>
    <row r="1483" hidden="1" x14ac:dyDescent="0.25"/>
    <row r="1484" hidden="1" x14ac:dyDescent="0.25"/>
    <row r="1485" hidden="1" x14ac:dyDescent="0.25"/>
  </sheetData>
  <sheetProtection sheet="1" objects="1" scenarios="1"/>
  <mergeCells count="2">
    <mergeCell ref="A2:C4"/>
    <mergeCell ref="H2:I2"/>
  </mergeCells>
  <dataValidations count="7">
    <dataValidation type="list" allowBlank="1" showInputMessage="1" showErrorMessage="1" sqref="I3">
      <formula1>Months</formula1>
    </dataValidation>
    <dataValidation type="list" allowBlank="1" showInputMessage="1" showErrorMessage="1" sqref="B7:B1121">
      <formula1>Criticality</formula1>
    </dataValidation>
    <dataValidation type="list" allowBlank="1" showInputMessage="1" showErrorMessage="1" sqref="F7:F1121">
      <formula1>Finding_Status</formula1>
    </dataValidation>
    <dataValidation type="list" allowBlank="1" showInputMessage="1" showErrorMessage="1" sqref="G7:G1121">
      <formula1>Source</formula1>
    </dataValidation>
    <dataValidation type="list" allowBlank="1" showInputMessage="1" showErrorMessage="1" sqref="L7:L1121">
      <formula1>Tech_Dependency</formula1>
    </dataValidation>
    <dataValidation type="list" allowBlank="1" showInputMessage="1" showErrorMessage="1" sqref="T7:T1121">
      <formula1>"Yes,No"</formula1>
    </dataValidation>
    <dataValidation type="list" allowBlank="1" showInputMessage="1" showErrorMessage="1" sqref="U7:U1121">
      <formula1>Plan_Status</formula1>
    </dataValidation>
  </dataValidations>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L6"/>
  <sheetViews>
    <sheetView workbookViewId="0">
      <selection activeCell="V16" sqref="V16"/>
    </sheetView>
  </sheetViews>
  <sheetFormatPr defaultRowHeight="15" x14ac:dyDescent="0.25"/>
  <cols>
    <col min="2" max="2" width="13.140625" customWidth="1"/>
    <col min="3" max="3" width="16.5703125" customWidth="1"/>
    <col min="4" max="4" width="9.140625" customWidth="1"/>
    <col min="5" max="5" width="19.7109375" bestFit="1" customWidth="1"/>
    <col min="6" max="6" width="21.7109375" bestFit="1" customWidth="1"/>
    <col min="8" max="8" width="20.5703125" customWidth="1"/>
    <col min="9" max="9" width="24.5703125" customWidth="1"/>
    <col min="11" max="12" width="12.7109375" customWidth="1"/>
  </cols>
  <sheetData>
    <row r="1" spans="2:12" x14ac:dyDescent="0.25">
      <c r="E1" s="31" t="s">
        <v>5</v>
      </c>
      <c r="F1" t="s">
        <v>27</v>
      </c>
      <c r="H1" s="31" t="s">
        <v>17</v>
      </c>
      <c r="I1" t="s">
        <v>80</v>
      </c>
    </row>
    <row r="2" spans="2:12" s="36" customFormat="1" x14ac:dyDescent="0.25">
      <c r="B2" s="36" t="s">
        <v>74</v>
      </c>
      <c r="E2" s="36" t="s">
        <v>75</v>
      </c>
      <c r="H2" s="36" t="s">
        <v>78</v>
      </c>
    </row>
    <row r="3" spans="2:12" x14ac:dyDescent="0.25">
      <c r="B3" s="31" t="s">
        <v>44</v>
      </c>
      <c r="C3" t="s">
        <v>74</v>
      </c>
      <c r="E3" s="31" t="s">
        <v>44</v>
      </c>
      <c r="F3" t="s">
        <v>77</v>
      </c>
      <c r="H3" s="31" t="s">
        <v>44</v>
      </c>
      <c r="I3" t="s">
        <v>79</v>
      </c>
    </row>
    <row r="4" spans="2:12" x14ac:dyDescent="0.25">
      <c r="B4" s="3" t="s">
        <v>59</v>
      </c>
      <c r="C4" s="33"/>
      <c r="E4" s="3" t="s">
        <v>59</v>
      </c>
      <c r="F4" s="33"/>
      <c r="H4" s="3" t="s">
        <v>59</v>
      </c>
      <c r="I4" s="33"/>
      <c r="K4" s="41"/>
      <c r="L4" s="41"/>
    </row>
    <row r="5" spans="2:12" x14ac:dyDescent="0.25">
      <c r="B5" s="32" t="s">
        <v>49</v>
      </c>
      <c r="C5" s="33">
        <v>10</v>
      </c>
      <c r="E5" s="32" t="s">
        <v>49</v>
      </c>
      <c r="F5" s="33">
        <v>2</v>
      </c>
      <c r="H5" s="32" t="s">
        <v>49</v>
      </c>
      <c r="I5" s="33">
        <v>3</v>
      </c>
      <c r="K5" s="41"/>
      <c r="L5" s="41"/>
    </row>
    <row r="6" spans="2:12" x14ac:dyDescent="0.25">
      <c r="B6" s="3" t="s">
        <v>45</v>
      </c>
      <c r="C6" s="33">
        <v>10</v>
      </c>
      <c r="E6" s="3" t="s">
        <v>45</v>
      </c>
      <c r="F6" s="33">
        <v>2</v>
      </c>
      <c r="H6" s="3" t="s">
        <v>45</v>
      </c>
      <c r="I6" s="33">
        <v>3</v>
      </c>
      <c r="K6" s="41"/>
      <c r="L6" s="41"/>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W27"/>
  <sheetViews>
    <sheetView topLeftCell="P1" workbookViewId="0">
      <selection activeCell="V16" sqref="V16"/>
    </sheetView>
  </sheetViews>
  <sheetFormatPr defaultRowHeight="15" x14ac:dyDescent="0.25"/>
  <cols>
    <col min="2" max="2" width="13.140625" customWidth="1"/>
    <col min="3" max="3" width="16.5703125" customWidth="1"/>
    <col min="4" max="4" width="9.140625" customWidth="1"/>
    <col min="5" max="5" width="19.7109375" customWidth="1"/>
    <col min="6" max="6" width="21.7109375" customWidth="1"/>
    <col min="8" max="8" width="20.5703125" customWidth="1"/>
    <col min="9" max="9" width="24.5703125" customWidth="1"/>
    <col min="11" max="11" width="13.140625" customWidth="1"/>
    <col min="12" max="12" width="20.42578125" customWidth="1"/>
    <col min="14" max="14" width="13.140625" customWidth="1"/>
    <col min="15" max="15" width="20.42578125" customWidth="1"/>
    <col min="17" max="17" width="20.7109375" customWidth="1"/>
    <col min="18" max="18" width="17.85546875" customWidth="1"/>
    <col min="19" max="22" width="12.7109375" customWidth="1"/>
  </cols>
  <sheetData>
    <row r="1" spans="2:23" x14ac:dyDescent="0.25">
      <c r="E1" s="31" t="s">
        <v>5</v>
      </c>
      <c r="F1" t="s">
        <v>27</v>
      </c>
      <c r="H1" s="31" t="s">
        <v>17</v>
      </c>
      <c r="I1" t="s">
        <v>80</v>
      </c>
      <c r="K1" s="31" t="s">
        <v>5</v>
      </c>
      <c r="L1" t="s">
        <v>26</v>
      </c>
    </row>
    <row r="2" spans="2:23" s="36" customFormat="1" x14ac:dyDescent="0.25">
      <c r="B2" s="36" t="s">
        <v>74</v>
      </c>
      <c r="E2" s="36" t="s">
        <v>75</v>
      </c>
      <c r="H2" s="36" t="s">
        <v>78</v>
      </c>
      <c r="K2" s="52" t="s">
        <v>81</v>
      </c>
      <c r="L2" s="52"/>
      <c r="N2" s="36" t="s">
        <v>86</v>
      </c>
      <c r="Q2" t="s">
        <v>91</v>
      </c>
      <c r="R2" t="s">
        <v>50</v>
      </c>
      <c r="S2" t="s">
        <v>96</v>
      </c>
    </row>
    <row r="3" spans="2:23" x14ac:dyDescent="0.25">
      <c r="B3" s="31" t="s">
        <v>44</v>
      </c>
      <c r="C3" t="s">
        <v>74</v>
      </c>
      <c r="E3" s="31" t="s">
        <v>44</v>
      </c>
      <c r="F3" t="s">
        <v>77</v>
      </c>
      <c r="H3" s="31" t="s">
        <v>44</v>
      </c>
      <c r="I3" t="s">
        <v>79</v>
      </c>
      <c r="K3" t="s">
        <v>77</v>
      </c>
      <c r="N3" s="31" t="s">
        <v>44</v>
      </c>
      <c r="O3" t="s">
        <v>58</v>
      </c>
      <c r="Q3" t="s">
        <v>61</v>
      </c>
      <c r="R3">
        <v>2021</v>
      </c>
    </row>
    <row r="4" spans="2:23" x14ac:dyDescent="0.25">
      <c r="B4" s="3" t="s">
        <v>59</v>
      </c>
      <c r="C4" s="33"/>
      <c r="E4" s="3" t="s">
        <v>59</v>
      </c>
      <c r="F4" s="33"/>
      <c r="H4" s="3" t="s">
        <v>59</v>
      </c>
      <c r="I4" s="33"/>
      <c r="K4" s="33">
        <v>3</v>
      </c>
      <c r="N4" s="3" t="s">
        <v>87</v>
      </c>
      <c r="O4" s="33">
        <v>3</v>
      </c>
      <c r="R4" t="s">
        <v>104</v>
      </c>
      <c r="S4" t="s">
        <v>100</v>
      </c>
      <c r="T4" t="s">
        <v>92</v>
      </c>
      <c r="U4" t="s">
        <v>93</v>
      </c>
      <c r="V4" t="s">
        <v>94</v>
      </c>
      <c r="W4" t="s">
        <v>95</v>
      </c>
    </row>
    <row r="5" spans="2:23" x14ac:dyDescent="0.25">
      <c r="B5" s="32" t="s">
        <v>50</v>
      </c>
      <c r="C5" s="33">
        <v>7</v>
      </c>
      <c r="E5" s="32" t="s">
        <v>50</v>
      </c>
      <c r="F5" s="33">
        <v>3</v>
      </c>
      <c r="H5" s="32" t="s">
        <v>50</v>
      </c>
      <c r="I5" s="33">
        <v>1</v>
      </c>
      <c r="N5" s="3" t="s">
        <v>88</v>
      </c>
      <c r="O5" s="33">
        <v>2</v>
      </c>
      <c r="Q5" t="s">
        <v>101</v>
      </c>
      <c r="R5">
        <f>GETPIVOTDATA("Finding Date",$B$3)</f>
        <v>7</v>
      </c>
      <c r="S5">
        <f>GETPIVOTDATA("Finding Date",'Previous Month Pivots'!$B$3)</f>
        <v>10</v>
      </c>
      <c r="T5" t="str">
        <f>IF(R5-S5&lt;0,"",R5-S5)</f>
        <v/>
      </c>
      <c r="U5">
        <f>IF(R5-S5&lt;0,-(R5-S5),"")</f>
        <v>3</v>
      </c>
      <c r="V5" s="41" t="str">
        <f>IF(T5="","",IF(T5=0,"","p"))</f>
        <v/>
      </c>
      <c r="W5" s="41" t="str">
        <f>IF(U5="","","q")</f>
        <v>q</v>
      </c>
    </row>
    <row r="6" spans="2:23" x14ac:dyDescent="0.25">
      <c r="B6" s="3" t="s">
        <v>45</v>
      </c>
      <c r="C6" s="33">
        <v>7</v>
      </c>
      <c r="E6" s="3" t="s">
        <v>45</v>
      </c>
      <c r="F6" s="33">
        <v>3</v>
      </c>
      <c r="H6" s="3" t="s">
        <v>45</v>
      </c>
      <c r="I6" s="33">
        <v>1</v>
      </c>
      <c r="N6" s="3" t="s">
        <v>90</v>
      </c>
      <c r="O6" s="33">
        <v>2</v>
      </c>
      <c r="Q6" t="s">
        <v>102</v>
      </c>
      <c r="R6">
        <f>GETPIVOTDATA("Overall Status",$E$3)</f>
        <v>3</v>
      </c>
      <c r="S6">
        <f>GETPIVOTDATA("Overall Status",'Previous Month Pivots'!$E$3)</f>
        <v>2</v>
      </c>
      <c r="T6">
        <f>IF(GETPIVOTDATA("Overall Status",$E$3)-S6&gt;=0,GETPIVOTDATA("Overall Status",$E$3)-S6,"")</f>
        <v>1</v>
      </c>
      <c r="U6" t="str">
        <f>IF(GETPIVOTDATA("Overall Status",$E$3)-S6&lt;0,-(GETPIVOTDATA("Overall Status",$E$3)-S6),"")</f>
        <v/>
      </c>
      <c r="V6" s="41" t="str">
        <f t="shared" ref="V6:V7" si="0">IF(T6="","",IF(T6=0,"","p"))</f>
        <v>p</v>
      </c>
      <c r="W6" s="41" t="str">
        <f t="shared" ref="W6:W7" si="1">IF(U6="","","q")</f>
        <v/>
      </c>
    </row>
    <row r="7" spans="2:23" ht="15.75" x14ac:dyDescent="0.25">
      <c r="K7" s="36" t="s">
        <v>82</v>
      </c>
      <c r="L7" s="37"/>
      <c r="N7" s="3" t="s">
        <v>45</v>
      </c>
      <c r="O7" s="33">
        <v>7</v>
      </c>
      <c r="Q7" t="s">
        <v>103</v>
      </c>
      <c r="R7">
        <f>GETPIVOTDATA("Retarget Counter",$H$3)</f>
        <v>1</v>
      </c>
      <c r="S7">
        <f>GETPIVOTDATA("Retarget Counter",'Previous Month Pivots'!$H$3)</f>
        <v>3</v>
      </c>
      <c r="T7" t="str">
        <f>IF(GETPIVOTDATA("Retarget Counter",$H$3)-S7&gt;=0,GETPIVOTDATA("Retarget Counter",$H$3)-S7,"")</f>
        <v/>
      </c>
      <c r="U7">
        <f>IF(GETPIVOTDATA("Retarget Counter",$H$3)-S7&lt;0,-(GETPIVOTDATA("Retarget Counter",$H$3)-S7),"")</f>
        <v>2</v>
      </c>
      <c r="V7" s="41" t="str">
        <f t="shared" si="0"/>
        <v/>
      </c>
      <c r="W7" s="41" t="str">
        <f t="shared" si="1"/>
        <v>q</v>
      </c>
    </row>
    <row r="8" spans="2:23" x14ac:dyDescent="0.25">
      <c r="K8" s="31" t="s">
        <v>44</v>
      </c>
      <c r="L8" t="s">
        <v>83</v>
      </c>
    </row>
    <row r="9" spans="2:23" x14ac:dyDescent="0.25">
      <c r="K9" s="3" t="s">
        <v>34</v>
      </c>
      <c r="L9" s="33">
        <v>3</v>
      </c>
      <c r="U9" t="s">
        <v>106</v>
      </c>
      <c r="V9" t="s">
        <v>107</v>
      </c>
    </row>
    <row r="10" spans="2:23" x14ac:dyDescent="0.25">
      <c r="K10" s="3" t="s">
        <v>32</v>
      </c>
      <c r="L10" s="33">
        <v>3</v>
      </c>
      <c r="T10" s="44" t="s">
        <v>105</v>
      </c>
      <c r="U10" s="45">
        <f>GETPIVOTDATA("Days Open",$Q$26)</f>
        <v>85</v>
      </c>
    </row>
    <row r="11" spans="2:23" x14ac:dyDescent="0.25">
      <c r="K11" s="3" t="s">
        <v>33</v>
      </c>
      <c r="L11" s="33">
        <v>1</v>
      </c>
      <c r="Q11" s="31" t="s">
        <v>11</v>
      </c>
      <c r="R11" t="s">
        <v>30</v>
      </c>
      <c r="T11" s="44" t="s">
        <v>97</v>
      </c>
      <c r="U11">
        <f>GETPIVOTDATA("Overall Status",$K$3)</f>
        <v>3</v>
      </c>
      <c r="V11" s="47">
        <f>IF($R$5=0,0,U11/$R$5)</f>
        <v>0.42857142857142855</v>
      </c>
      <c r="W11" s="48">
        <f>1-V11</f>
        <v>0.5714285714285714</v>
      </c>
    </row>
    <row r="12" spans="2:23" x14ac:dyDescent="0.25">
      <c r="K12" s="3" t="s">
        <v>45</v>
      </c>
      <c r="L12" s="33">
        <v>7</v>
      </c>
      <c r="Q12" s="31" t="s">
        <v>5</v>
      </c>
      <c r="R12" t="s">
        <v>80</v>
      </c>
      <c r="T12" s="44" t="s">
        <v>98</v>
      </c>
      <c r="U12">
        <f>GETPIVOTDATA("Finding Date",$Q$14)</f>
        <v>3</v>
      </c>
      <c r="V12" s="47">
        <f t="shared" ref="V12:V13" si="2">IF($R$5=0,0,U12/$R$5)</f>
        <v>0.42857142857142855</v>
      </c>
      <c r="W12" s="48">
        <f t="shared" ref="W12:W13" si="3">1-V12</f>
        <v>0.5714285714285714</v>
      </c>
    </row>
    <row r="13" spans="2:23" x14ac:dyDescent="0.25">
      <c r="Q13" s="36" t="s">
        <v>11</v>
      </c>
      <c r="T13" s="44" t="s">
        <v>99</v>
      </c>
      <c r="U13">
        <f>GETPIVOTDATA("Finding Date",$Q$21)</f>
        <v>1</v>
      </c>
      <c r="V13" s="47">
        <f t="shared" si="2"/>
        <v>0.14285714285714285</v>
      </c>
      <c r="W13" s="48">
        <f t="shared" si="3"/>
        <v>0.85714285714285721</v>
      </c>
    </row>
    <row r="14" spans="2:23" x14ac:dyDescent="0.25">
      <c r="Q14" t="s">
        <v>58</v>
      </c>
    </row>
    <row r="15" spans="2:23" x14ac:dyDescent="0.25">
      <c r="K15" s="31" t="s">
        <v>44</v>
      </c>
      <c r="L15" t="s">
        <v>58</v>
      </c>
      <c r="Q15" s="33">
        <v>3</v>
      </c>
    </row>
    <row r="16" spans="2:23" x14ac:dyDescent="0.25">
      <c r="K16" s="3" t="s">
        <v>23</v>
      </c>
      <c r="L16" s="33">
        <v>1</v>
      </c>
    </row>
    <row r="17" spans="11:18" x14ac:dyDescent="0.25">
      <c r="K17" s="3" t="s">
        <v>22</v>
      </c>
      <c r="L17" s="33">
        <v>3</v>
      </c>
    </row>
    <row r="18" spans="11:18" x14ac:dyDescent="0.25">
      <c r="K18" s="3" t="s">
        <v>24</v>
      </c>
      <c r="L18" s="33">
        <v>3</v>
      </c>
      <c r="Q18" s="31" t="s">
        <v>18</v>
      </c>
      <c r="R18" t="s">
        <v>43</v>
      </c>
    </row>
    <row r="19" spans="11:18" x14ac:dyDescent="0.25">
      <c r="K19" s="3" t="s">
        <v>45</v>
      </c>
      <c r="L19" s="33">
        <v>7</v>
      </c>
      <c r="Q19" s="31" t="s">
        <v>5</v>
      </c>
      <c r="R19" t="s">
        <v>80</v>
      </c>
    </row>
    <row r="20" spans="11:18" x14ac:dyDescent="0.25">
      <c r="Q20" s="36" t="s">
        <v>18</v>
      </c>
    </row>
    <row r="21" spans="11:18" x14ac:dyDescent="0.25">
      <c r="Q21" s="3" t="s">
        <v>58</v>
      </c>
    </row>
    <row r="22" spans="11:18" x14ac:dyDescent="0.25">
      <c r="Q22" s="33">
        <v>1</v>
      </c>
    </row>
    <row r="25" spans="11:18" x14ac:dyDescent="0.25">
      <c r="Q25" s="36" t="s">
        <v>84</v>
      </c>
    </row>
    <row r="26" spans="11:18" x14ac:dyDescent="0.25">
      <c r="Q26" t="s">
        <v>85</v>
      </c>
    </row>
    <row r="27" spans="11:18" x14ac:dyDescent="0.25">
      <c r="Q27" s="33">
        <v>85</v>
      </c>
    </row>
  </sheetData>
  <mergeCells count="1">
    <mergeCell ref="K2:L2"/>
  </mergeCells>
  <pageMargins left="0.7" right="0.7" top="0.75" bottom="0.75" header="0.3" footer="0.3"/>
  <drawing r:id="rId11"/>
  <extLst>
    <ext xmlns:x14="http://schemas.microsoft.com/office/spreadsheetml/2009/9/main" uri="{A8765BA9-456A-4dab-B4F3-ACF838C121DE}">
      <x14:slicerList>
        <x14:slicer r:id="rId1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B43"/>
  <sheetViews>
    <sheetView showGridLines="0" showRowColHeaders="0" workbookViewId="0">
      <selection activeCell="E3" sqref="E3"/>
    </sheetView>
  </sheetViews>
  <sheetFormatPr defaultColWidth="0" defaultRowHeight="15" zeroHeight="1" x14ac:dyDescent="0.25"/>
  <cols>
    <col min="1" max="1" width="1.7109375" style="42" customWidth="1"/>
    <col min="2" max="6" width="9.140625" style="42" customWidth="1"/>
    <col min="7" max="7" width="1.7109375" style="42" customWidth="1"/>
    <col min="8" max="8" width="9.140625" style="42" customWidth="1"/>
    <col min="9" max="9" width="1.7109375" style="42" customWidth="1"/>
    <col min="10" max="13" width="9.140625" style="42" customWidth="1"/>
    <col min="14" max="14" width="1.7109375" style="42" customWidth="1"/>
    <col min="15" max="16" width="9.140625" style="42" customWidth="1"/>
    <col min="17" max="17" width="1.7109375" style="42" customWidth="1"/>
    <col min="18" max="19" width="9.140625" style="42" customWidth="1"/>
    <col min="20" max="20" width="1.7109375" style="42" customWidth="1"/>
    <col min="21" max="24" width="9.140625" style="42" customWidth="1"/>
    <col min="25" max="25" width="1.7109375" style="42" customWidth="1"/>
    <col min="26" max="28" width="0" style="42" hidden="1" customWidth="1"/>
    <col min="29" max="16384" width="9.140625" style="42" hidden="1"/>
  </cols>
  <sheetData>
    <row r="1" spans="2:24" ht="9" customHeight="1" x14ac:dyDescent="0.25"/>
    <row r="2" spans="2:24" x14ac:dyDescent="0.25"/>
    <row r="3" spans="2:24" x14ac:dyDescent="0.25"/>
    <row r="4" spans="2:24" x14ac:dyDescent="0.25"/>
    <row r="5" spans="2:24" ht="9" customHeight="1" x14ac:dyDescent="0.25"/>
    <row r="6" spans="2:24" x14ac:dyDescent="0.25"/>
    <row r="7" spans="2:24" x14ac:dyDescent="0.25"/>
    <row r="8" spans="2:24" x14ac:dyDescent="0.25"/>
    <row r="9" spans="2:24" x14ac:dyDescent="0.25"/>
    <row r="10" spans="2:24" ht="9" customHeight="1" x14ac:dyDescent="0.25"/>
    <row r="11" spans="2:24" x14ac:dyDescent="0.25">
      <c r="B11" s="43"/>
      <c r="C11" s="43"/>
      <c r="D11" s="43"/>
      <c r="E11" s="43"/>
      <c r="F11" s="43"/>
      <c r="G11" s="43"/>
      <c r="H11" s="43"/>
      <c r="I11" s="43"/>
      <c r="J11" s="43"/>
      <c r="K11" s="43"/>
      <c r="L11" s="43"/>
      <c r="M11" s="43"/>
      <c r="N11" s="43"/>
      <c r="O11" s="43"/>
      <c r="P11" s="43"/>
      <c r="Q11" s="43"/>
      <c r="R11" s="43"/>
      <c r="S11" s="43"/>
      <c r="T11" s="43"/>
      <c r="U11" s="43"/>
      <c r="V11" s="43"/>
      <c r="W11" s="43"/>
      <c r="X11" s="43"/>
    </row>
    <row r="12" spans="2:24" x14ac:dyDescent="0.25">
      <c r="B12" s="43"/>
      <c r="C12" s="43"/>
      <c r="D12" s="43"/>
      <c r="E12" s="43"/>
      <c r="F12" s="43"/>
      <c r="G12" s="43"/>
      <c r="H12" s="43"/>
      <c r="I12" s="43"/>
      <c r="J12" s="43"/>
      <c r="K12" s="43"/>
      <c r="L12" s="43"/>
      <c r="M12" s="43"/>
      <c r="N12" s="43"/>
      <c r="O12" s="43"/>
      <c r="P12" s="43"/>
      <c r="Q12" s="43"/>
      <c r="R12" s="43"/>
      <c r="S12" s="43"/>
      <c r="T12" s="43"/>
      <c r="U12" s="43"/>
      <c r="V12" s="43"/>
      <c r="W12" s="43"/>
      <c r="X12" s="43"/>
    </row>
    <row r="13" spans="2:24" x14ac:dyDescent="0.25">
      <c r="B13" s="43"/>
      <c r="C13" s="43"/>
      <c r="D13" s="43"/>
      <c r="J13" s="43"/>
      <c r="K13" s="43"/>
      <c r="L13" s="43"/>
      <c r="R13" s="43"/>
      <c r="S13" s="43"/>
      <c r="T13" s="43"/>
    </row>
    <row r="14" spans="2:24" x14ac:dyDescent="0.25">
      <c r="B14" s="43"/>
      <c r="C14" s="43"/>
      <c r="D14" s="43"/>
      <c r="E14" s="43"/>
      <c r="F14" s="43"/>
      <c r="G14" s="43"/>
      <c r="I14" s="43"/>
      <c r="J14" s="43"/>
      <c r="K14" s="43"/>
      <c r="L14" s="43"/>
      <c r="M14" s="43"/>
      <c r="N14" s="43"/>
      <c r="O14" s="43"/>
      <c r="Q14" s="43"/>
      <c r="R14" s="43"/>
      <c r="S14" s="43"/>
      <c r="T14" s="43"/>
      <c r="U14" s="43"/>
      <c r="V14" s="43"/>
      <c r="W14" s="43"/>
    </row>
    <row r="15" spans="2:24" x14ac:dyDescent="0.25">
      <c r="B15" s="43"/>
      <c r="C15" s="43"/>
      <c r="D15" s="43"/>
      <c r="E15" s="43"/>
      <c r="F15" s="43"/>
      <c r="G15" s="43"/>
      <c r="I15" s="43"/>
      <c r="J15" s="43"/>
      <c r="K15" s="43"/>
      <c r="L15" s="43"/>
      <c r="M15" s="43"/>
      <c r="N15" s="43"/>
      <c r="O15" s="43"/>
      <c r="Q15" s="43"/>
      <c r="R15" s="43"/>
      <c r="S15" s="43"/>
      <c r="T15" s="43"/>
      <c r="U15" s="43"/>
      <c r="V15" s="43"/>
      <c r="W15" s="43"/>
    </row>
    <row r="16" spans="2:24" ht="15" customHeight="1" x14ac:dyDescent="0.25">
      <c r="B16" s="43"/>
      <c r="C16" s="43"/>
      <c r="D16" s="43"/>
      <c r="E16" s="43"/>
      <c r="F16" s="43"/>
      <c r="G16" s="43"/>
      <c r="I16" s="43"/>
      <c r="J16" s="43"/>
      <c r="K16" s="43"/>
      <c r="L16" s="43"/>
      <c r="M16" s="43"/>
      <c r="N16" s="43"/>
      <c r="O16" s="43"/>
      <c r="Q16" s="43"/>
      <c r="R16" s="43"/>
      <c r="S16" s="43"/>
      <c r="T16" s="43"/>
      <c r="U16" s="43"/>
      <c r="V16" s="43"/>
      <c r="W16" s="43"/>
    </row>
    <row r="17" spans="2:24" ht="9" customHeight="1" x14ac:dyDescent="0.25">
      <c r="B17" s="43"/>
      <c r="C17" s="43"/>
      <c r="D17" s="43"/>
      <c r="E17" s="43"/>
      <c r="F17" s="43"/>
      <c r="G17" s="43"/>
      <c r="I17" s="43"/>
      <c r="J17" s="43"/>
      <c r="K17" s="43"/>
      <c r="L17" s="43"/>
      <c r="M17" s="43"/>
      <c r="N17" s="43"/>
      <c r="P17" s="43"/>
      <c r="Q17" s="43"/>
      <c r="R17" s="43"/>
      <c r="S17" s="43"/>
      <c r="T17" s="43"/>
      <c r="U17" s="43"/>
      <c r="V17" s="43"/>
      <c r="W17" s="43"/>
      <c r="X17" s="43"/>
    </row>
    <row r="18" spans="2:24" x14ac:dyDescent="0.25">
      <c r="B18" s="43"/>
      <c r="C18" s="43"/>
      <c r="D18" s="43"/>
      <c r="E18" s="43"/>
      <c r="F18" s="43"/>
      <c r="G18" s="43"/>
      <c r="I18" s="43"/>
      <c r="J18" s="43"/>
      <c r="K18" s="43"/>
      <c r="L18" s="43"/>
      <c r="M18" s="43"/>
      <c r="N18" s="43"/>
      <c r="P18" s="43"/>
      <c r="Q18" s="43"/>
      <c r="R18" s="43"/>
      <c r="S18" s="43"/>
      <c r="T18" s="43"/>
      <c r="U18" s="43"/>
      <c r="V18" s="43"/>
      <c r="W18" s="43"/>
      <c r="X18" s="43"/>
    </row>
    <row r="19" spans="2:24" x14ac:dyDescent="0.25"/>
    <row r="20" spans="2:24" x14ac:dyDescent="0.25">
      <c r="B20" s="43"/>
      <c r="C20" s="43"/>
      <c r="D20" s="43"/>
      <c r="E20" s="43"/>
      <c r="G20" s="43"/>
      <c r="H20" s="43"/>
      <c r="I20" s="43"/>
      <c r="J20" s="43"/>
      <c r="Q20" s="43"/>
      <c r="R20" s="43"/>
      <c r="S20" s="43"/>
      <c r="T20" s="43"/>
      <c r="U20" s="43"/>
      <c r="V20" s="43"/>
      <c r="W20" s="43"/>
      <c r="X20" s="43"/>
    </row>
    <row r="21" spans="2:24" x14ac:dyDescent="0.25">
      <c r="B21" s="43"/>
      <c r="C21" s="43"/>
      <c r="D21" s="43"/>
      <c r="E21" s="43"/>
      <c r="G21" s="43"/>
      <c r="H21" s="43"/>
      <c r="I21" s="43"/>
      <c r="J21" s="43"/>
      <c r="Q21" s="43"/>
      <c r="R21" s="43"/>
      <c r="S21" s="43"/>
      <c r="T21" s="43"/>
      <c r="U21" s="43"/>
      <c r="V21" s="43"/>
      <c r="W21" s="43"/>
      <c r="X21" s="43"/>
    </row>
    <row r="22" spans="2:24" x14ac:dyDescent="0.25">
      <c r="B22" s="43"/>
      <c r="C22" s="43"/>
      <c r="D22" s="43"/>
      <c r="E22" s="43"/>
      <c r="G22" s="43"/>
      <c r="H22" s="43"/>
      <c r="I22" s="43"/>
      <c r="J22" s="43"/>
      <c r="Q22" s="43"/>
      <c r="R22" s="43"/>
      <c r="S22" s="43"/>
      <c r="T22" s="43"/>
      <c r="U22" s="43"/>
      <c r="V22" s="43"/>
      <c r="W22" s="43"/>
      <c r="X22" s="43"/>
    </row>
    <row r="23" spans="2:24" x14ac:dyDescent="0.25">
      <c r="B23" s="43"/>
      <c r="C23" s="43"/>
      <c r="D23" s="43"/>
      <c r="E23" s="43"/>
      <c r="G23" s="43"/>
      <c r="H23" s="43"/>
      <c r="I23" s="43"/>
      <c r="J23" s="43"/>
      <c r="Q23" s="43"/>
      <c r="R23" s="43"/>
      <c r="S23" s="43"/>
      <c r="T23" s="43"/>
      <c r="U23" s="43"/>
      <c r="V23" s="43"/>
      <c r="W23" s="43"/>
      <c r="X23" s="43"/>
    </row>
    <row r="24" spans="2:24" x14ac:dyDescent="0.25">
      <c r="B24" s="43"/>
      <c r="C24" s="43"/>
      <c r="D24" s="43"/>
      <c r="E24" s="43"/>
      <c r="G24" s="43"/>
      <c r="H24" s="43"/>
      <c r="I24" s="43"/>
      <c r="J24" s="43"/>
      <c r="Q24" s="43"/>
      <c r="R24" s="43"/>
      <c r="S24" s="43"/>
      <c r="T24" s="43"/>
      <c r="U24" s="43"/>
      <c r="V24" s="43"/>
      <c r="W24" s="43"/>
      <c r="X24" s="43"/>
    </row>
    <row r="25" spans="2:24" x14ac:dyDescent="0.25">
      <c r="B25" s="43"/>
      <c r="C25" s="43"/>
      <c r="D25" s="43"/>
      <c r="E25" s="43"/>
      <c r="G25" s="43"/>
      <c r="H25" s="43"/>
      <c r="I25" s="43"/>
      <c r="J25" s="43"/>
      <c r="L25" s="43"/>
      <c r="M25" s="43"/>
      <c r="N25" s="43"/>
      <c r="O25" s="43"/>
      <c r="Q25" s="43"/>
      <c r="R25" s="43"/>
      <c r="S25" s="43"/>
      <c r="T25" s="43"/>
      <c r="U25" s="43"/>
      <c r="V25" s="43"/>
      <c r="W25" s="43"/>
      <c r="X25" s="43"/>
    </row>
    <row r="26" spans="2:24" ht="9" customHeight="1" x14ac:dyDescent="0.25">
      <c r="L26" s="43"/>
      <c r="M26" s="43"/>
      <c r="N26" s="43"/>
      <c r="O26" s="43"/>
      <c r="Q26" s="43"/>
      <c r="R26" s="43"/>
      <c r="S26" s="43"/>
      <c r="T26" s="43"/>
      <c r="U26" s="43"/>
      <c r="V26" s="43"/>
      <c r="W26" s="43"/>
      <c r="X26" s="43"/>
    </row>
    <row r="27" spans="2:24" x14ac:dyDescent="0.25">
      <c r="B27" s="43"/>
      <c r="C27" s="43"/>
      <c r="D27" s="43"/>
      <c r="E27" s="43"/>
      <c r="G27" s="43"/>
      <c r="H27" s="43"/>
      <c r="I27" s="43"/>
      <c r="J27" s="43"/>
      <c r="L27" s="43"/>
      <c r="M27" s="43"/>
      <c r="N27" s="43"/>
      <c r="O27" s="43"/>
      <c r="Q27" s="43"/>
      <c r="R27" s="43"/>
      <c r="S27" s="43"/>
      <c r="T27" s="43"/>
      <c r="U27" s="43"/>
      <c r="V27" s="43"/>
      <c r="W27" s="43"/>
      <c r="X27" s="43"/>
    </row>
    <row r="28" spans="2:24" x14ac:dyDescent="0.25">
      <c r="B28" s="43"/>
      <c r="C28" s="43"/>
      <c r="D28" s="43"/>
      <c r="E28" s="43"/>
      <c r="G28" s="43"/>
      <c r="H28" s="43"/>
      <c r="I28" s="43"/>
      <c r="J28" s="43"/>
      <c r="L28" s="43"/>
      <c r="M28" s="43"/>
      <c r="N28" s="43"/>
      <c r="O28" s="43"/>
      <c r="Q28" s="43"/>
      <c r="R28" s="43"/>
      <c r="S28" s="43"/>
      <c r="T28" s="43"/>
      <c r="U28" s="43"/>
      <c r="V28" s="43"/>
      <c r="W28" s="43"/>
      <c r="X28" s="43"/>
    </row>
    <row r="29" spans="2:24" x14ac:dyDescent="0.25">
      <c r="B29" s="43"/>
      <c r="C29" s="43"/>
      <c r="D29" s="43"/>
      <c r="E29" s="43"/>
      <c r="G29" s="43"/>
      <c r="H29" s="43"/>
      <c r="I29" s="43"/>
      <c r="J29" s="43"/>
      <c r="L29" s="43"/>
      <c r="M29" s="43"/>
      <c r="N29" s="43"/>
      <c r="O29" s="43"/>
      <c r="Q29" s="43"/>
      <c r="R29" s="43"/>
      <c r="S29" s="43"/>
      <c r="T29" s="43"/>
      <c r="U29" s="43"/>
      <c r="V29" s="43"/>
      <c r="W29" s="43"/>
      <c r="X29" s="43"/>
    </row>
    <row r="30" spans="2:24" x14ac:dyDescent="0.25">
      <c r="B30" s="43"/>
      <c r="C30" s="43"/>
      <c r="D30" s="43"/>
      <c r="E30" s="43"/>
      <c r="G30" s="43"/>
      <c r="H30" s="43"/>
      <c r="I30" s="43"/>
      <c r="J30" s="43"/>
      <c r="L30" s="43"/>
      <c r="M30" s="43"/>
      <c r="N30" s="43"/>
      <c r="O30" s="43"/>
      <c r="Q30" s="43"/>
      <c r="R30" s="43"/>
      <c r="S30" s="43"/>
      <c r="T30" s="43"/>
      <c r="U30" s="43"/>
      <c r="V30" s="43"/>
      <c r="W30" s="43"/>
      <c r="X30" s="43"/>
    </row>
    <row r="31" spans="2:24" x14ac:dyDescent="0.25">
      <c r="B31" s="43"/>
      <c r="C31" s="43"/>
      <c r="D31" s="43"/>
      <c r="E31" s="43"/>
      <c r="G31" s="43"/>
      <c r="H31" s="43"/>
      <c r="I31" s="43"/>
      <c r="J31" s="43"/>
      <c r="L31" s="43"/>
      <c r="M31" s="43"/>
      <c r="N31" s="43"/>
      <c r="O31" s="43"/>
      <c r="Q31" s="43"/>
      <c r="R31" s="43"/>
      <c r="S31" s="43"/>
      <c r="T31" s="43"/>
      <c r="U31" s="43"/>
      <c r="V31" s="43"/>
      <c r="W31" s="43"/>
      <c r="X31" s="43"/>
    </row>
    <row r="32" spans="2:24" x14ac:dyDescent="0.25">
      <c r="G32" s="43"/>
      <c r="H32" s="43"/>
      <c r="I32" s="43"/>
      <c r="J32" s="43"/>
      <c r="Q32" s="43"/>
      <c r="R32" s="43"/>
      <c r="S32" s="43"/>
      <c r="T32" s="43"/>
      <c r="U32" s="43"/>
      <c r="V32" s="43"/>
      <c r="W32" s="43"/>
      <c r="X32" s="43"/>
    </row>
    <row r="33" spans="7:24" x14ac:dyDescent="0.25">
      <c r="G33" s="43"/>
      <c r="H33" s="43"/>
      <c r="I33" s="43"/>
      <c r="J33" s="43"/>
      <c r="Q33" s="43"/>
      <c r="R33" s="43"/>
      <c r="S33" s="43"/>
      <c r="T33" s="43"/>
      <c r="U33" s="43"/>
      <c r="V33" s="43"/>
      <c r="W33" s="43"/>
      <c r="X33" s="43"/>
    </row>
    <row r="34" spans="7:24" x14ac:dyDescent="0.25">
      <c r="J34" s="43"/>
      <c r="K34" s="43"/>
      <c r="L34" s="43"/>
      <c r="M34" s="43"/>
      <c r="N34" s="43"/>
      <c r="O34" s="43"/>
      <c r="Q34" s="43"/>
      <c r="R34" s="43"/>
      <c r="S34" s="43"/>
      <c r="T34" s="43"/>
      <c r="U34" s="43"/>
      <c r="V34" s="43"/>
      <c r="W34" s="43"/>
      <c r="X34" s="43"/>
    </row>
    <row r="35" spans="7:24" ht="9" customHeight="1" x14ac:dyDescent="0.25">
      <c r="I35" s="43"/>
      <c r="J35" s="43"/>
      <c r="K35" s="43"/>
      <c r="L35" s="43"/>
      <c r="M35" s="43"/>
      <c r="N35" s="43"/>
      <c r="O35" s="43"/>
      <c r="Q35" s="43"/>
      <c r="R35" s="43"/>
      <c r="S35" s="43"/>
      <c r="T35" s="43"/>
      <c r="U35" s="43"/>
      <c r="V35" s="43"/>
      <c r="W35" s="43"/>
      <c r="X35" s="43"/>
    </row>
    <row r="36" spans="7:24" hidden="1" x14ac:dyDescent="0.25"/>
    <row r="37" spans="7:24" hidden="1" x14ac:dyDescent="0.25"/>
    <row r="38" spans="7:24" hidden="1" x14ac:dyDescent="0.25"/>
    <row r="39" spans="7:24" hidden="1" x14ac:dyDescent="0.25"/>
    <row r="40" spans="7:24" hidden="1" x14ac:dyDescent="0.25"/>
    <row r="41" spans="7:24" hidden="1" x14ac:dyDescent="0.25"/>
    <row r="42" spans="7:24" hidden="1" x14ac:dyDescent="0.25"/>
    <row r="43" spans="7:24" hidden="1" x14ac:dyDescent="0.25"/>
  </sheetData>
  <sheetProtection sheet="1" objects="1" scenarios="1"/>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24"/>
  <sheetViews>
    <sheetView showGridLines="0" showRowColHeaders="0" workbookViewId="0">
      <selection activeCell="E3" sqref="E3:F3"/>
    </sheetView>
  </sheetViews>
  <sheetFormatPr defaultColWidth="0" defaultRowHeight="15" zeroHeight="1" x14ac:dyDescent="0.25"/>
  <cols>
    <col min="1" max="1" width="1.7109375" style="7" customWidth="1"/>
    <col min="2" max="2" width="26" bestFit="1" customWidth="1"/>
    <col min="3" max="4" width="2" customWidth="1"/>
    <col min="5" max="5" width="20.7109375" customWidth="1"/>
    <col min="6" max="6" width="29.7109375" customWidth="1"/>
    <col min="7" max="7" width="1.7109375" style="7" customWidth="1"/>
    <col min="8" max="8" width="25.7109375" style="7" customWidth="1"/>
    <col min="9" max="9" width="1.7109375" style="7" customWidth="1"/>
    <col min="10" max="16384" width="9.140625" hidden="1"/>
  </cols>
  <sheetData>
    <row r="1" spans="1:9" s="7" customFormat="1" ht="8.25" customHeight="1" x14ac:dyDescent="0.25"/>
    <row r="2" spans="1:9" ht="21" customHeight="1" x14ac:dyDescent="0.25">
      <c r="B2" s="55" t="s">
        <v>40</v>
      </c>
      <c r="C2" s="56"/>
      <c r="D2" s="56"/>
      <c r="E2" s="56"/>
      <c r="F2" s="57"/>
    </row>
    <row r="3" spans="1:9" x14ac:dyDescent="0.25">
      <c r="B3" s="11" t="s">
        <v>1</v>
      </c>
      <c r="C3" s="12"/>
      <c r="D3" s="13"/>
      <c r="E3" s="58">
        <v>44256</v>
      </c>
      <c r="F3" s="59"/>
    </row>
    <row r="4" spans="1:9" s="6" customFormat="1" ht="15" customHeight="1" x14ac:dyDescent="0.25">
      <c r="A4" s="8"/>
      <c r="B4" s="14" t="s">
        <v>0</v>
      </c>
      <c r="C4" s="15"/>
      <c r="D4" s="16"/>
      <c r="E4" s="60" t="s">
        <v>23</v>
      </c>
      <c r="F4" s="61"/>
      <c r="G4" s="7"/>
      <c r="H4" s="10"/>
      <c r="I4" s="8"/>
    </row>
    <row r="5" spans="1:9" s="6" customFormat="1" ht="30" customHeight="1" x14ac:dyDescent="0.25">
      <c r="A5" s="8"/>
      <c r="B5" s="17" t="s">
        <v>2</v>
      </c>
      <c r="C5" s="18"/>
      <c r="D5" s="19"/>
      <c r="E5" s="62" t="s">
        <v>113</v>
      </c>
      <c r="F5" s="63"/>
      <c r="G5" s="7"/>
      <c r="H5" s="10"/>
      <c r="I5" s="8"/>
    </row>
    <row r="6" spans="1:9" ht="90" customHeight="1" x14ac:dyDescent="0.25">
      <c r="B6" s="20" t="s">
        <v>3</v>
      </c>
      <c r="C6" s="21"/>
      <c r="D6" s="22"/>
      <c r="E6" s="53" t="s">
        <v>114</v>
      </c>
      <c r="F6" s="54"/>
      <c r="H6" s="10"/>
    </row>
    <row r="7" spans="1:9" x14ac:dyDescent="0.25">
      <c r="B7" s="11" t="s">
        <v>4</v>
      </c>
      <c r="C7" s="12"/>
      <c r="D7" s="23"/>
      <c r="E7" s="64" t="s">
        <v>89</v>
      </c>
      <c r="F7" s="65"/>
      <c r="H7" s="10"/>
    </row>
    <row r="8" spans="1:9" x14ac:dyDescent="0.25">
      <c r="B8" s="14" t="s">
        <v>5</v>
      </c>
      <c r="C8" s="15"/>
      <c r="D8" s="16"/>
      <c r="E8" s="60" t="s">
        <v>25</v>
      </c>
      <c r="F8" s="61"/>
      <c r="H8" s="10"/>
    </row>
    <row r="9" spans="1:9" x14ac:dyDescent="0.25">
      <c r="B9" s="11" t="s">
        <v>6</v>
      </c>
      <c r="C9" s="12"/>
      <c r="D9" s="23"/>
      <c r="E9" s="64" t="s">
        <v>28</v>
      </c>
      <c r="F9" s="65"/>
      <c r="H9" s="10"/>
    </row>
    <row r="10" spans="1:9" s="6" customFormat="1" ht="15" customHeight="1" x14ac:dyDescent="0.25">
      <c r="A10" s="8"/>
      <c r="B10" s="14" t="s">
        <v>8</v>
      </c>
      <c r="C10" s="15"/>
      <c r="D10" s="16"/>
      <c r="E10" s="60" t="s">
        <v>36</v>
      </c>
      <c r="F10" s="61"/>
      <c r="G10" s="7"/>
      <c r="H10" s="10"/>
      <c r="I10" s="8"/>
    </row>
    <row r="11" spans="1:9" s="6" customFormat="1" ht="30" customHeight="1" x14ac:dyDescent="0.25">
      <c r="A11" s="8"/>
      <c r="B11" s="17" t="s">
        <v>9</v>
      </c>
      <c r="C11" s="18"/>
      <c r="D11" s="19"/>
      <c r="E11" s="62" t="s">
        <v>35</v>
      </c>
      <c r="F11" s="63"/>
      <c r="G11" s="7"/>
      <c r="H11" s="10"/>
      <c r="I11" s="8"/>
    </row>
    <row r="12" spans="1:9" ht="90" customHeight="1" x14ac:dyDescent="0.25">
      <c r="B12" s="20" t="s">
        <v>10</v>
      </c>
      <c r="C12" s="21"/>
      <c r="D12" s="22"/>
      <c r="E12" s="53" t="s">
        <v>115</v>
      </c>
      <c r="F12" s="54"/>
      <c r="H12" s="10"/>
    </row>
    <row r="13" spans="1:9" x14ac:dyDescent="0.25">
      <c r="B13" s="11" t="s">
        <v>11</v>
      </c>
      <c r="C13" s="12"/>
      <c r="D13" s="23"/>
      <c r="E13" s="64" t="s">
        <v>30</v>
      </c>
      <c r="F13" s="65"/>
      <c r="I13" s="9"/>
    </row>
    <row r="14" spans="1:9" x14ac:dyDescent="0.25">
      <c r="B14" s="14" t="s">
        <v>37</v>
      </c>
      <c r="C14" s="15"/>
      <c r="D14" s="68" t="s">
        <v>36</v>
      </c>
      <c r="E14" s="69"/>
      <c r="F14" s="24" t="s">
        <v>39</v>
      </c>
    </row>
    <row r="15" spans="1:9" x14ac:dyDescent="0.25">
      <c r="B15" s="11" t="s">
        <v>12</v>
      </c>
      <c r="C15" s="12"/>
      <c r="D15" s="23"/>
      <c r="E15" s="64"/>
      <c r="F15" s="65"/>
    </row>
    <row r="16" spans="1:9" x14ac:dyDescent="0.25">
      <c r="B16" s="14" t="s">
        <v>13</v>
      </c>
      <c r="C16" s="15"/>
      <c r="D16" s="16"/>
      <c r="E16" s="60" t="s">
        <v>36</v>
      </c>
      <c r="F16" s="61"/>
    </row>
    <row r="17" spans="2:6" x14ac:dyDescent="0.25">
      <c r="B17" s="11" t="s">
        <v>14</v>
      </c>
      <c r="C17" s="12"/>
      <c r="D17" s="23"/>
      <c r="E17" s="64" t="s">
        <v>36</v>
      </c>
      <c r="F17" s="65"/>
    </row>
    <row r="18" spans="2:6" x14ac:dyDescent="0.25">
      <c r="B18" s="14" t="s">
        <v>15</v>
      </c>
      <c r="C18" s="15"/>
      <c r="D18" s="16"/>
      <c r="E18" s="70">
        <v>44286</v>
      </c>
      <c r="F18" s="71"/>
    </row>
    <row r="19" spans="2:6" x14ac:dyDescent="0.25">
      <c r="B19" s="11" t="s">
        <v>16</v>
      </c>
      <c r="C19" s="12"/>
      <c r="D19" s="23"/>
      <c r="E19" s="72">
        <v>44286</v>
      </c>
      <c r="F19" s="73"/>
    </row>
    <row r="20" spans="2:6" x14ac:dyDescent="0.25">
      <c r="B20" s="14" t="s">
        <v>18</v>
      </c>
      <c r="C20" s="15"/>
      <c r="D20" s="16"/>
      <c r="E20" s="60" t="s">
        <v>43</v>
      </c>
      <c r="F20" s="61"/>
    </row>
    <row r="21" spans="2:6" x14ac:dyDescent="0.25">
      <c r="B21" s="25" t="s">
        <v>19</v>
      </c>
      <c r="C21" s="26"/>
      <c r="D21" s="27"/>
      <c r="E21" s="66" t="s">
        <v>33</v>
      </c>
      <c r="F21" s="67"/>
    </row>
    <row r="22" spans="2:6" s="7" customFormat="1" ht="8.25" customHeight="1" x14ac:dyDescent="0.25"/>
    <row r="23" spans="2:6" hidden="1" x14ac:dyDescent="0.25"/>
    <row r="24" spans="2:6" hidden="1" x14ac:dyDescent="0.25"/>
  </sheetData>
  <sheetProtection sheet="1" objects="1" scenarios="1"/>
  <mergeCells count="20">
    <mergeCell ref="E20:F20"/>
    <mergeCell ref="E21:F21"/>
    <mergeCell ref="D14:E14"/>
    <mergeCell ref="E13:F13"/>
    <mergeCell ref="E15:F15"/>
    <mergeCell ref="E16:F16"/>
    <mergeCell ref="E17:F17"/>
    <mergeCell ref="E18:F18"/>
    <mergeCell ref="E19:F19"/>
    <mergeCell ref="E12:F12"/>
    <mergeCell ref="B2:F2"/>
    <mergeCell ref="E3:F3"/>
    <mergeCell ref="E4:F4"/>
    <mergeCell ref="E5:F5"/>
    <mergeCell ref="E6:F6"/>
    <mergeCell ref="E7:F7"/>
    <mergeCell ref="E8:F8"/>
    <mergeCell ref="E9:F9"/>
    <mergeCell ref="E10:F10"/>
    <mergeCell ref="E11:F11"/>
  </mergeCells>
  <dataValidations count="6">
    <dataValidation type="list" allowBlank="1" showInputMessage="1" showErrorMessage="1" sqref="E21">
      <formula1>Plan_Status</formula1>
    </dataValidation>
    <dataValidation type="list" allowBlank="1" showInputMessage="1" showErrorMessage="1" sqref="E20">
      <formula1>"Yes,No"</formula1>
    </dataValidation>
    <dataValidation type="list" allowBlank="1" showInputMessage="1" showErrorMessage="1" sqref="E13">
      <formula1>Tech_Dependency</formula1>
    </dataValidation>
    <dataValidation type="list" allowBlank="1" showInputMessage="1" showErrorMessage="1" sqref="E9">
      <formula1>Source</formula1>
    </dataValidation>
    <dataValidation type="list" allowBlank="1" showInputMessage="1" showErrorMessage="1" sqref="E8">
      <formula1>Finding_Status</formula1>
    </dataValidation>
    <dataValidation type="list" allowBlank="1" showInputMessage="1" showErrorMessage="1" sqref="E4">
      <formula1>Criticality</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AC28"/>
  <sheetViews>
    <sheetView topLeftCell="Q1" workbookViewId="0">
      <selection activeCell="AG5" sqref="AG5"/>
    </sheetView>
  </sheetViews>
  <sheetFormatPr defaultRowHeight="15" x14ac:dyDescent="0.25"/>
  <cols>
    <col min="2" max="2" width="13.140625" customWidth="1"/>
    <col min="3" max="3" width="20.42578125" bestFit="1" customWidth="1"/>
    <col min="6" max="6" width="13.42578125" customWidth="1"/>
    <col min="7" max="7" width="20.42578125" bestFit="1" customWidth="1"/>
    <col min="10" max="10" width="16.28515625" bestFit="1" customWidth="1"/>
    <col min="11" max="11" width="24.5703125" bestFit="1" customWidth="1"/>
    <col min="12" max="12" width="9.140625" customWidth="1"/>
    <col min="14" max="14" width="13.140625" customWidth="1"/>
    <col min="15" max="15" width="20.42578125" bestFit="1" customWidth="1"/>
    <col min="18" max="18" width="13.140625" customWidth="1"/>
    <col min="19" max="19" width="20.42578125" bestFit="1" customWidth="1"/>
    <col min="22" max="22" width="20.7109375" customWidth="1"/>
    <col min="23" max="23" width="6.28515625" customWidth="1"/>
    <col min="26" max="26" width="17.85546875" bestFit="1" customWidth="1"/>
  </cols>
  <sheetData>
    <row r="1" spans="2:29" x14ac:dyDescent="0.25">
      <c r="F1" s="31" t="s">
        <v>5</v>
      </c>
      <c r="G1" t="s">
        <v>27</v>
      </c>
      <c r="J1" s="31" t="s">
        <v>17</v>
      </c>
      <c r="K1" t="s">
        <v>80</v>
      </c>
    </row>
    <row r="2" spans="2:29" x14ac:dyDescent="0.25">
      <c r="B2" s="36" t="s">
        <v>101</v>
      </c>
      <c r="F2" s="36" t="s">
        <v>102</v>
      </c>
      <c r="J2" s="36" t="s">
        <v>103</v>
      </c>
      <c r="N2" s="36" t="s">
        <v>20</v>
      </c>
      <c r="R2" s="36" t="s">
        <v>109</v>
      </c>
      <c r="V2" s="36" t="s">
        <v>110</v>
      </c>
      <c r="Z2" t="s">
        <v>110</v>
      </c>
      <c r="AA2">
        <f>GETPIVOTDATA("Finding Date",$B$3)</f>
        <v>120</v>
      </c>
    </row>
    <row r="3" spans="2:29" x14ac:dyDescent="0.25">
      <c r="B3" s="31" t="s">
        <v>44</v>
      </c>
      <c r="C3" t="s">
        <v>58</v>
      </c>
      <c r="F3" s="31" t="s">
        <v>44</v>
      </c>
      <c r="G3" t="s">
        <v>58</v>
      </c>
      <c r="J3" s="31" t="s">
        <v>44</v>
      </c>
      <c r="K3" t="s">
        <v>79</v>
      </c>
      <c r="N3" s="31" t="s">
        <v>44</v>
      </c>
      <c r="O3" t="s">
        <v>58</v>
      </c>
      <c r="R3" s="31" t="s">
        <v>44</v>
      </c>
      <c r="S3" t="s">
        <v>58</v>
      </c>
      <c r="V3" t="s">
        <v>58</v>
      </c>
      <c r="Z3" t="s">
        <v>111</v>
      </c>
      <c r="AA3">
        <f>GETPIVOTDATA("Finding Date",$F$3)</f>
        <v>47</v>
      </c>
    </row>
    <row r="4" spans="2:29" x14ac:dyDescent="0.25">
      <c r="B4" s="3" t="s">
        <v>59</v>
      </c>
      <c r="C4" s="33"/>
      <c r="F4" s="3" t="s">
        <v>59</v>
      </c>
      <c r="G4" s="33"/>
      <c r="J4" s="3" t="s">
        <v>59</v>
      </c>
      <c r="K4" s="33"/>
      <c r="N4" s="3" t="s">
        <v>23</v>
      </c>
      <c r="O4" s="33">
        <v>38</v>
      </c>
      <c r="R4" s="3" t="s">
        <v>90</v>
      </c>
      <c r="S4" s="33">
        <v>26</v>
      </c>
      <c r="V4" s="33">
        <v>120</v>
      </c>
      <c r="Z4" t="s">
        <v>112</v>
      </c>
      <c r="AA4">
        <f>GETPIVOTDATA("Retarget Counter",$J$3)</f>
        <v>30</v>
      </c>
    </row>
    <row r="5" spans="2:29" x14ac:dyDescent="0.25">
      <c r="B5" s="32" t="s">
        <v>46</v>
      </c>
      <c r="C5" s="33">
        <v>14</v>
      </c>
      <c r="F5" s="32" t="s">
        <v>46</v>
      </c>
      <c r="G5" s="33">
        <v>6</v>
      </c>
      <c r="J5" s="32" t="s">
        <v>46</v>
      </c>
      <c r="K5" s="33">
        <v>4</v>
      </c>
      <c r="N5" s="3" t="s">
        <v>22</v>
      </c>
      <c r="O5" s="33">
        <v>47</v>
      </c>
      <c r="R5" s="3" t="s">
        <v>87</v>
      </c>
      <c r="S5" s="33">
        <v>28</v>
      </c>
      <c r="Z5" t="s">
        <v>11</v>
      </c>
      <c r="AA5">
        <f>GETPIVOTDATA("Finding Date",$V$15)</f>
        <v>62</v>
      </c>
      <c r="AB5" s="46">
        <f>IF($AA$2=0,0,AA5/$AA$2)</f>
        <v>0.51666666666666672</v>
      </c>
      <c r="AC5" s="48">
        <f>1-AB5</f>
        <v>0.48333333333333328</v>
      </c>
    </row>
    <row r="6" spans="2:29" x14ac:dyDescent="0.25">
      <c r="B6" s="32" t="s">
        <v>47</v>
      </c>
      <c r="C6" s="33">
        <v>10</v>
      </c>
      <c r="F6" s="32" t="s">
        <v>47</v>
      </c>
      <c r="G6" s="33">
        <v>5</v>
      </c>
      <c r="J6" s="32" t="s">
        <v>47</v>
      </c>
      <c r="K6" s="33">
        <v>2</v>
      </c>
      <c r="N6" s="3" t="s">
        <v>24</v>
      </c>
      <c r="O6" s="33">
        <v>35</v>
      </c>
      <c r="R6" s="3" t="s">
        <v>88</v>
      </c>
      <c r="S6" s="33">
        <v>26</v>
      </c>
      <c r="Z6" t="s">
        <v>18</v>
      </c>
      <c r="AA6">
        <f>GETPIVOTDATA("Finding Date",$V$21)</f>
        <v>64</v>
      </c>
      <c r="AB6" s="46">
        <f>IF($AA$2=0,0,AA6/$AA$2)</f>
        <v>0.53333333333333333</v>
      </c>
      <c r="AC6" s="48">
        <f>1-AB6</f>
        <v>0.46666666666666667</v>
      </c>
    </row>
    <row r="7" spans="2:29" x14ac:dyDescent="0.25">
      <c r="B7" s="32" t="s">
        <v>48</v>
      </c>
      <c r="C7" s="33">
        <v>9</v>
      </c>
      <c r="F7" s="32" t="s">
        <v>48</v>
      </c>
      <c r="G7" s="33">
        <v>3</v>
      </c>
      <c r="J7" s="32" t="s">
        <v>48</v>
      </c>
      <c r="K7" s="33">
        <v>1</v>
      </c>
      <c r="N7" s="3" t="s">
        <v>45</v>
      </c>
      <c r="O7" s="33">
        <v>120</v>
      </c>
      <c r="R7" s="3" t="s">
        <v>89</v>
      </c>
      <c r="S7" s="33">
        <v>40</v>
      </c>
      <c r="V7" s="31" t="s">
        <v>5</v>
      </c>
      <c r="W7" t="s">
        <v>108</v>
      </c>
    </row>
    <row r="8" spans="2:29" x14ac:dyDescent="0.25">
      <c r="B8" s="32" t="s">
        <v>49</v>
      </c>
      <c r="C8" s="33">
        <v>10</v>
      </c>
      <c r="F8" s="32" t="s">
        <v>49</v>
      </c>
      <c r="G8" s="33">
        <v>2</v>
      </c>
      <c r="J8" s="32" t="s">
        <v>49</v>
      </c>
      <c r="K8" s="33">
        <v>3</v>
      </c>
      <c r="R8" s="3" t="s">
        <v>45</v>
      </c>
      <c r="S8" s="33">
        <v>120</v>
      </c>
      <c r="V8" s="36" t="s">
        <v>26</v>
      </c>
    </row>
    <row r="9" spans="2:29" x14ac:dyDescent="0.25">
      <c r="B9" s="32" t="s">
        <v>50</v>
      </c>
      <c r="C9" s="33">
        <v>7</v>
      </c>
      <c r="F9" s="32" t="s">
        <v>50</v>
      </c>
      <c r="G9" s="33">
        <v>3</v>
      </c>
      <c r="J9" s="32" t="s">
        <v>50</v>
      </c>
      <c r="K9" s="33">
        <v>1</v>
      </c>
      <c r="V9" t="s">
        <v>58</v>
      </c>
    </row>
    <row r="10" spans="2:29" x14ac:dyDescent="0.25">
      <c r="B10" s="32" t="s">
        <v>51</v>
      </c>
      <c r="C10" s="33">
        <v>10</v>
      </c>
      <c r="F10" s="32" t="s">
        <v>51</v>
      </c>
      <c r="G10" s="33">
        <v>5</v>
      </c>
      <c r="J10" s="32" t="s">
        <v>51</v>
      </c>
      <c r="K10" s="33">
        <v>4</v>
      </c>
      <c r="N10" s="36" t="s">
        <v>19</v>
      </c>
      <c r="V10" s="33">
        <v>120</v>
      </c>
    </row>
    <row r="11" spans="2:29" x14ac:dyDescent="0.25">
      <c r="B11" s="32" t="s">
        <v>52</v>
      </c>
      <c r="C11" s="33">
        <v>5</v>
      </c>
      <c r="F11" s="32" t="s">
        <v>52</v>
      </c>
      <c r="G11" s="33">
        <v>1</v>
      </c>
      <c r="J11" s="32" t="s">
        <v>53</v>
      </c>
      <c r="K11" s="33">
        <v>2</v>
      </c>
      <c r="N11" s="31" t="s">
        <v>44</v>
      </c>
      <c r="O11" t="s">
        <v>58</v>
      </c>
    </row>
    <row r="12" spans="2:29" x14ac:dyDescent="0.25">
      <c r="B12" s="32" t="s">
        <v>53</v>
      </c>
      <c r="C12" s="33">
        <v>15</v>
      </c>
      <c r="F12" s="32" t="s">
        <v>53</v>
      </c>
      <c r="G12" s="33">
        <v>7</v>
      </c>
      <c r="J12" s="32" t="s">
        <v>55</v>
      </c>
      <c r="K12" s="33">
        <v>3</v>
      </c>
      <c r="N12" s="3" t="s">
        <v>34</v>
      </c>
      <c r="O12" s="33">
        <v>37</v>
      </c>
    </row>
    <row r="13" spans="2:29" x14ac:dyDescent="0.25">
      <c r="B13" s="32" t="s">
        <v>54</v>
      </c>
      <c r="C13" s="33">
        <v>8</v>
      </c>
      <c r="F13" s="32" t="s">
        <v>54</v>
      </c>
      <c r="G13" s="33">
        <v>4</v>
      </c>
      <c r="J13" s="32" t="s">
        <v>56</v>
      </c>
      <c r="K13" s="33">
        <v>7</v>
      </c>
      <c r="N13" s="3" t="s">
        <v>32</v>
      </c>
      <c r="O13" s="33">
        <v>47</v>
      </c>
      <c r="V13" s="31" t="s">
        <v>11</v>
      </c>
      <c r="W13" t="s">
        <v>30</v>
      </c>
    </row>
    <row r="14" spans="2:29" x14ac:dyDescent="0.25">
      <c r="B14" s="32" t="s">
        <v>55</v>
      </c>
      <c r="C14" s="33">
        <v>6</v>
      </c>
      <c r="F14" s="32" t="s">
        <v>55</v>
      </c>
      <c r="G14" s="33">
        <v>3</v>
      </c>
      <c r="J14" s="32" t="s">
        <v>57</v>
      </c>
      <c r="K14" s="33">
        <v>3</v>
      </c>
      <c r="N14" s="3" t="s">
        <v>33</v>
      </c>
      <c r="O14" s="33">
        <v>36</v>
      </c>
      <c r="V14" s="36" t="s">
        <v>11</v>
      </c>
    </row>
    <row r="15" spans="2:29" x14ac:dyDescent="0.25">
      <c r="B15" s="32" t="s">
        <v>56</v>
      </c>
      <c r="C15" s="33">
        <v>14</v>
      </c>
      <c r="F15" s="32" t="s">
        <v>56</v>
      </c>
      <c r="G15" s="33">
        <v>4</v>
      </c>
      <c r="J15" s="3" t="s">
        <v>45</v>
      </c>
      <c r="K15" s="33">
        <v>30</v>
      </c>
      <c r="N15" s="3" t="s">
        <v>45</v>
      </c>
      <c r="O15" s="33">
        <v>120</v>
      </c>
      <c r="V15" t="s">
        <v>58</v>
      </c>
    </row>
    <row r="16" spans="2:29" x14ac:dyDescent="0.25">
      <c r="B16" s="32" t="s">
        <v>57</v>
      </c>
      <c r="C16" s="33">
        <v>10</v>
      </c>
      <c r="F16" s="32" t="s">
        <v>57</v>
      </c>
      <c r="G16" s="33">
        <v>3</v>
      </c>
      <c r="V16" s="33">
        <v>62</v>
      </c>
    </row>
    <row r="17" spans="2:23" x14ac:dyDescent="0.25">
      <c r="B17" s="3" t="s">
        <v>60</v>
      </c>
      <c r="C17" s="33"/>
      <c r="F17" s="3" t="s">
        <v>60</v>
      </c>
      <c r="G17" s="33"/>
    </row>
    <row r="18" spans="2:23" x14ac:dyDescent="0.25">
      <c r="B18" s="32" t="s">
        <v>46</v>
      </c>
      <c r="C18" s="33">
        <v>1</v>
      </c>
      <c r="F18" s="32" t="s">
        <v>47</v>
      </c>
      <c r="G18" s="33">
        <v>1</v>
      </c>
    </row>
    <row r="19" spans="2:23" x14ac:dyDescent="0.25">
      <c r="B19" s="32" t="s">
        <v>47</v>
      </c>
      <c r="C19" s="33">
        <v>1</v>
      </c>
      <c r="F19" s="3" t="s">
        <v>45</v>
      </c>
      <c r="G19" s="33">
        <v>47</v>
      </c>
      <c r="V19" s="31" t="s">
        <v>18</v>
      </c>
      <c r="W19" t="s">
        <v>43</v>
      </c>
    </row>
    <row r="20" spans="2:23" x14ac:dyDescent="0.25">
      <c r="B20" s="3" t="s">
        <v>45</v>
      </c>
      <c r="C20" s="33">
        <v>120</v>
      </c>
      <c r="V20" s="36" t="s">
        <v>18</v>
      </c>
    </row>
    <row r="21" spans="2:23" x14ac:dyDescent="0.25">
      <c r="V21" t="s">
        <v>58</v>
      </c>
    </row>
    <row r="22" spans="2:23" x14ac:dyDescent="0.25">
      <c r="V22" s="33">
        <v>64</v>
      </c>
    </row>
    <row r="26" spans="2:23" x14ac:dyDescent="0.25">
      <c r="V26" s="36" t="s">
        <v>84</v>
      </c>
    </row>
    <row r="27" spans="2:23" x14ac:dyDescent="0.25">
      <c r="V27" t="s">
        <v>85</v>
      </c>
    </row>
    <row r="28" spans="2:23" x14ac:dyDescent="0.25">
      <c r="V28" s="33">
        <v>63.56666666666667</v>
      </c>
    </row>
  </sheetData>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C38"/>
  <sheetViews>
    <sheetView showGridLines="0" showRowColHeaders="0" tabSelected="1" workbookViewId="0">
      <selection activeCell="C3" sqref="C3"/>
    </sheetView>
  </sheetViews>
  <sheetFormatPr defaultColWidth="0" defaultRowHeight="15" zeroHeight="1" x14ac:dyDescent="0.25"/>
  <cols>
    <col min="1" max="1" width="1.7109375" style="42" customWidth="1"/>
    <col min="2" max="3" width="9.140625" style="42" customWidth="1"/>
    <col min="4" max="4" width="5.7109375" style="42" customWidth="1"/>
    <col min="5" max="5" width="1.7109375" style="42" customWidth="1"/>
    <col min="6" max="10" width="9.140625" style="42" customWidth="1"/>
    <col min="11" max="11" width="1.7109375" style="42" customWidth="1"/>
    <col min="12" max="16" width="9.140625" style="42" customWidth="1"/>
    <col min="17" max="17" width="1.7109375" style="42" customWidth="1"/>
    <col min="18" max="22" width="9.140625" style="42" customWidth="1"/>
    <col min="23" max="23" width="1.7109375" style="42" customWidth="1"/>
    <col min="24" max="28" width="9.140625" style="42" customWidth="1"/>
    <col min="29" max="29" width="1.7109375" style="42" customWidth="1"/>
    <col min="30" max="16384" width="9.140625" style="42" hidden="1"/>
  </cols>
  <sheetData>
    <row r="1" spans="6:28" ht="9" customHeight="1" x14ac:dyDescent="0.25"/>
    <row r="2" spans="6:28" x14ac:dyDescent="0.25"/>
    <row r="3" spans="6:28" x14ac:dyDescent="0.25"/>
    <row r="4" spans="6:28" x14ac:dyDescent="0.25"/>
    <row r="5" spans="6:28" ht="9" customHeight="1" x14ac:dyDescent="0.25"/>
    <row r="6" spans="6:28" x14ac:dyDescent="0.25">
      <c r="X6" s="74"/>
      <c r="Y6" s="74"/>
      <c r="Z6" s="74"/>
      <c r="AA6" s="74"/>
      <c r="AB6" s="74"/>
    </row>
    <row r="7" spans="6:28" x14ac:dyDescent="0.25">
      <c r="X7" s="74"/>
      <c r="Y7" s="74"/>
      <c r="Z7" s="74"/>
      <c r="AA7" s="74"/>
      <c r="AB7" s="74"/>
    </row>
    <row r="8" spans="6:28" x14ac:dyDescent="0.25">
      <c r="X8" s="74"/>
      <c r="Y8" s="74"/>
      <c r="Z8" s="74"/>
      <c r="AA8" s="74"/>
      <c r="AB8" s="74"/>
    </row>
    <row r="9" spans="6:28" x14ac:dyDescent="0.25">
      <c r="X9" s="74"/>
      <c r="Y9" s="74"/>
      <c r="Z9" s="74"/>
      <c r="AA9" s="74"/>
      <c r="AB9" s="74"/>
    </row>
    <row r="10" spans="6:28" x14ac:dyDescent="0.25">
      <c r="X10" s="74"/>
      <c r="Y10" s="74"/>
      <c r="Z10" s="74"/>
      <c r="AA10" s="74"/>
      <c r="AB10" s="74"/>
    </row>
    <row r="11" spans="6:28" ht="9" customHeight="1" x14ac:dyDescent="0.25">
      <c r="X11" s="74"/>
      <c r="Y11" s="74"/>
      <c r="Z11" s="74"/>
      <c r="AA11" s="74"/>
      <c r="AB11" s="74"/>
    </row>
    <row r="12" spans="6:28" x14ac:dyDescent="0.25">
      <c r="F12" s="74"/>
      <c r="G12" s="74"/>
      <c r="H12" s="74"/>
      <c r="I12" s="74"/>
      <c r="J12" s="74"/>
      <c r="K12" s="74"/>
      <c r="L12" s="74"/>
      <c r="M12" s="74"/>
      <c r="N12" s="74"/>
      <c r="O12" s="74"/>
      <c r="P12" s="74"/>
      <c r="Q12" s="74"/>
      <c r="R12" s="74"/>
      <c r="S12" s="74"/>
      <c r="T12" s="74"/>
      <c r="U12" s="74"/>
      <c r="V12" s="74"/>
      <c r="X12" s="74"/>
      <c r="Y12" s="74"/>
      <c r="Z12" s="74"/>
      <c r="AA12" s="74"/>
      <c r="AB12" s="74"/>
    </row>
    <row r="13" spans="6:28" x14ac:dyDescent="0.25">
      <c r="F13" s="74"/>
      <c r="G13" s="74"/>
      <c r="H13" s="74"/>
      <c r="I13" s="74"/>
      <c r="J13" s="74"/>
      <c r="K13" s="74"/>
      <c r="L13" s="74"/>
      <c r="M13" s="74"/>
      <c r="N13" s="74"/>
      <c r="O13" s="74"/>
      <c r="P13" s="74"/>
      <c r="Q13" s="74"/>
      <c r="R13" s="74"/>
      <c r="S13" s="74"/>
      <c r="T13" s="74"/>
      <c r="U13" s="74"/>
      <c r="V13" s="74"/>
      <c r="X13" s="74"/>
      <c r="Y13" s="74"/>
      <c r="Z13" s="74"/>
      <c r="AA13" s="74"/>
      <c r="AB13" s="74"/>
    </row>
    <row r="14" spans="6:28" x14ac:dyDescent="0.25">
      <c r="F14" s="74"/>
      <c r="G14" s="74"/>
      <c r="H14" s="74"/>
      <c r="I14" s="74"/>
      <c r="J14" s="74"/>
      <c r="K14" s="74"/>
      <c r="L14" s="74"/>
      <c r="M14" s="74"/>
      <c r="N14" s="74"/>
      <c r="O14" s="74"/>
      <c r="P14" s="74"/>
      <c r="Q14" s="74"/>
      <c r="R14" s="74"/>
      <c r="S14" s="74"/>
      <c r="T14" s="74"/>
      <c r="U14" s="74"/>
      <c r="V14" s="74"/>
      <c r="X14" s="74"/>
      <c r="Y14" s="74"/>
      <c r="Z14" s="74"/>
      <c r="AA14" s="74"/>
      <c r="AB14" s="74"/>
    </row>
    <row r="15" spans="6:28" x14ac:dyDescent="0.25">
      <c r="F15" s="74"/>
      <c r="G15" s="74"/>
      <c r="H15" s="74"/>
      <c r="I15" s="74"/>
      <c r="J15" s="74"/>
      <c r="K15" s="74"/>
      <c r="L15" s="74"/>
      <c r="M15" s="74"/>
      <c r="N15" s="74"/>
      <c r="O15" s="74"/>
      <c r="P15" s="74"/>
      <c r="Q15" s="74"/>
      <c r="R15" s="74"/>
      <c r="S15" s="74"/>
      <c r="T15" s="74"/>
      <c r="U15" s="74"/>
      <c r="V15" s="74"/>
      <c r="X15" s="74"/>
      <c r="Y15" s="74"/>
      <c r="Z15" s="74"/>
      <c r="AA15" s="74"/>
      <c r="AB15" s="74"/>
    </row>
    <row r="16" spans="6:28" x14ac:dyDescent="0.25">
      <c r="F16" s="74"/>
      <c r="G16" s="74"/>
      <c r="H16" s="74"/>
      <c r="I16" s="74"/>
      <c r="J16" s="74"/>
      <c r="K16" s="74"/>
      <c r="L16" s="74"/>
      <c r="M16" s="74"/>
      <c r="N16" s="74"/>
      <c r="O16" s="74"/>
      <c r="P16" s="74"/>
      <c r="Q16" s="74"/>
      <c r="R16" s="74"/>
      <c r="S16" s="74"/>
      <c r="T16" s="74"/>
      <c r="U16" s="74"/>
      <c r="V16" s="74"/>
      <c r="X16" s="74"/>
      <c r="Y16" s="74"/>
      <c r="Z16" s="74"/>
      <c r="AA16" s="74"/>
      <c r="AB16" s="74"/>
    </row>
    <row r="17" spans="6:28" x14ac:dyDescent="0.25">
      <c r="F17" s="74"/>
      <c r="G17" s="74"/>
      <c r="H17" s="74"/>
      <c r="I17" s="74"/>
      <c r="J17" s="74"/>
      <c r="K17" s="74"/>
      <c r="L17" s="74"/>
      <c r="M17" s="74"/>
      <c r="N17" s="74"/>
      <c r="O17" s="74"/>
      <c r="P17" s="74"/>
      <c r="Q17" s="74"/>
      <c r="R17" s="74"/>
      <c r="S17" s="74"/>
      <c r="T17" s="74"/>
      <c r="U17" s="74"/>
      <c r="V17" s="74"/>
      <c r="X17" s="74"/>
      <c r="Y17" s="74"/>
      <c r="Z17" s="74"/>
      <c r="AA17" s="74"/>
      <c r="AB17" s="74"/>
    </row>
    <row r="18" spans="6:28" x14ac:dyDescent="0.25">
      <c r="F18" s="74"/>
      <c r="G18" s="74"/>
      <c r="H18" s="74"/>
      <c r="I18" s="74"/>
      <c r="J18" s="74"/>
      <c r="K18" s="74"/>
      <c r="L18" s="74"/>
      <c r="M18" s="74"/>
      <c r="N18" s="74"/>
      <c r="O18" s="74"/>
      <c r="P18" s="74"/>
      <c r="Q18" s="74"/>
      <c r="R18" s="74"/>
      <c r="S18" s="74"/>
      <c r="T18" s="74"/>
      <c r="U18" s="74"/>
      <c r="V18" s="74"/>
      <c r="X18" s="74"/>
      <c r="Y18" s="74"/>
      <c r="Z18" s="74"/>
      <c r="AA18" s="74"/>
      <c r="AB18" s="74"/>
    </row>
    <row r="19" spans="6:28" x14ac:dyDescent="0.25">
      <c r="F19" s="74"/>
      <c r="G19" s="74"/>
      <c r="H19" s="74"/>
      <c r="I19" s="74"/>
      <c r="J19" s="74"/>
      <c r="K19" s="74"/>
      <c r="L19" s="74"/>
      <c r="M19" s="74"/>
      <c r="N19" s="74"/>
      <c r="O19" s="74"/>
      <c r="P19" s="74"/>
      <c r="Q19" s="74"/>
      <c r="R19" s="74"/>
      <c r="S19" s="74"/>
      <c r="T19" s="74"/>
      <c r="U19" s="74"/>
      <c r="V19" s="74"/>
      <c r="X19" s="74"/>
      <c r="Y19" s="74"/>
      <c r="Z19" s="74"/>
      <c r="AA19" s="74"/>
      <c r="AB19" s="74"/>
    </row>
    <row r="20" spans="6:28" ht="9" customHeight="1" x14ac:dyDescent="0.25">
      <c r="F20" s="43"/>
      <c r="G20" s="43"/>
      <c r="H20" s="43"/>
      <c r="I20" s="43"/>
      <c r="J20" s="43"/>
      <c r="K20" s="43"/>
      <c r="L20" s="43"/>
      <c r="M20" s="43"/>
      <c r="N20" s="43"/>
      <c r="O20" s="43"/>
      <c r="P20" s="43"/>
      <c r="Q20" s="43"/>
      <c r="R20" s="43"/>
      <c r="S20" s="43"/>
      <c r="T20" s="43"/>
      <c r="U20" s="43"/>
      <c r="V20" s="43"/>
      <c r="X20" s="74"/>
      <c r="Y20" s="74"/>
      <c r="Z20" s="74"/>
      <c r="AA20" s="74"/>
      <c r="AB20" s="74"/>
    </row>
    <row r="21" spans="6:28" x14ac:dyDescent="0.25">
      <c r="F21" s="74"/>
      <c r="G21" s="74"/>
      <c r="H21" s="74"/>
      <c r="I21" s="74"/>
      <c r="J21" s="74"/>
      <c r="K21" s="74"/>
      <c r="L21" s="74"/>
      <c r="M21" s="74"/>
      <c r="N21" s="74"/>
      <c r="O21" s="74"/>
      <c r="P21" s="74"/>
      <c r="Q21" s="74"/>
      <c r="R21" s="74"/>
      <c r="S21" s="74"/>
      <c r="T21" s="74"/>
      <c r="U21" s="74"/>
      <c r="V21" s="74"/>
      <c r="X21" s="74"/>
      <c r="Y21" s="74"/>
      <c r="Z21" s="74"/>
      <c r="AA21" s="74"/>
      <c r="AB21" s="74"/>
    </row>
    <row r="22" spans="6:28" x14ac:dyDescent="0.25">
      <c r="F22" s="74"/>
      <c r="G22" s="74"/>
      <c r="H22" s="74"/>
      <c r="I22" s="74"/>
      <c r="J22" s="74"/>
      <c r="K22" s="74"/>
      <c r="L22" s="74"/>
      <c r="M22" s="74"/>
      <c r="N22" s="74"/>
      <c r="O22" s="74"/>
      <c r="P22" s="74"/>
      <c r="Q22" s="74"/>
      <c r="R22" s="74"/>
      <c r="S22" s="74"/>
      <c r="T22" s="74"/>
      <c r="U22" s="74"/>
      <c r="V22" s="74"/>
      <c r="X22" s="74"/>
      <c r="Y22" s="74"/>
      <c r="Z22" s="74"/>
      <c r="AA22" s="74"/>
      <c r="AB22" s="74"/>
    </row>
    <row r="23" spans="6:28" x14ac:dyDescent="0.25">
      <c r="F23" s="74"/>
      <c r="G23" s="74"/>
      <c r="H23" s="74"/>
      <c r="I23" s="74"/>
      <c r="J23" s="74"/>
      <c r="K23" s="74"/>
      <c r="L23" s="74"/>
      <c r="M23" s="74"/>
      <c r="N23" s="74"/>
      <c r="O23" s="74"/>
      <c r="P23" s="74"/>
      <c r="Q23" s="74"/>
      <c r="R23" s="74"/>
      <c r="S23" s="74"/>
      <c r="T23" s="74"/>
      <c r="U23" s="74"/>
      <c r="V23" s="74"/>
      <c r="X23" s="74"/>
      <c r="Y23" s="74"/>
      <c r="Z23" s="74"/>
      <c r="AA23" s="74"/>
      <c r="AB23" s="74"/>
    </row>
    <row r="24" spans="6:28" x14ac:dyDescent="0.25">
      <c r="F24" s="74"/>
      <c r="G24" s="74"/>
      <c r="H24" s="74"/>
      <c r="I24" s="74"/>
      <c r="J24" s="74"/>
      <c r="K24" s="74"/>
      <c r="L24" s="74"/>
      <c r="M24" s="74"/>
      <c r="N24" s="74"/>
      <c r="O24" s="74"/>
      <c r="P24" s="74"/>
      <c r="Q24" s="74"/>
      <c r="R24" s="74"/>
      <c r="S24" s="74"/>
      <c r="T24" s="74"/>
      <c r="U24" s="74"/>
      <c r="V24" s="74"/>
      <c r="X24" s="74"/>
      <c r="Y24" s="74"/>
      <c r="Z24" s="74"/>
      <c r="AA24" s="74"/>
      <c r="AB24" s="74"/>
    </row>
    <row r="25" spans="6:28" x14ac:dyDescent="0.25">
      <c r="F25" s="74"/>
      <c r="G25" s="74"/>
      <c r="H25" s="74"/>
      <c r="I25" s="74"/>
      <c r="J25" s="74"/>
      <c r="K25" s="74"/>
      <c r="L25" s="74"/>
      <c r="M25" s="74"/>
      <c r="N25" s="74"/>
      <c r="O25" s="74"/>
      <c r="P25" s="74"/>
      <c r="Q25" s="74"/>
      <c r="R25" s="74"/>
      <c r="S25" s="74"/>
      <c r="T25" s="74"/>
      <c r="U25" s="74"/>
      <c r="V25" s="74"/>
      <c r="X25" s="74"/>
      <c r="Y25" s="74"/>
      <c r="Z25" s="74"/>
      <c r="AA25" s="74"/>
      <c r="AB25" s="74"/>
    </row>
    <row r="26" spans="6:28" x14ac:dyDescent="0.25">
      <c r="F26" s="74"/>
      <c r="G26" s="74"/>
      <c r="H26" s="74"/>
      <c r="I26" s="74"/>
      <c r="J26" s="74"/>
      <c r="K26" s="74"/>
      <c r="L26" s="74"/>
      <c r="M26" s="74"/>
      <c r="N26" s="74"/>
      <c r="O26" s="74"/>
      <c r="P26" s="74"/>
      <c r="Q26" s="74"/>
      <c r="R26" s="74"/>
      <c r="S26" s="74"/>
      <c r="T26" s="74"/>
      <c r="U26" s="74"/>
      <c r="V26" s="74"/>
      <c r="X26" s="74"/>
      <c r="Y26" s="74"/>
      <c r="Z26" s="74"/>
      <c r="AA26" s="74"/>
      <c r="AB26" s="74"/>
    </row>
    <row r="27" spans="6:28" x14ac:dyDescent="0.25">
      <c r="F27" s="74"/>
      <c r="G27" s="74"/>
      <c r="H27" s="74"/>
      <c r="I27" s="74"/>
      <c r="J27" s="74"/>
      <c r="K27" s="74"/>
      <c r="L27" s="74"/>
      <c r="M27" s="74"/>
      <c r="N27" s="74"/>
      <c r="O27" s="74"/>
      <c r="P27" s="74"/>
      <c r="Q27" s="74"/>
      <c r="R27" s="74"/>
      <c r="S27" s="74"/>
      <c r="T27" s="74"/>
      <c r="U27" s="74"/>
      <c r="V27" s="74"/>
      <c r="X27" s="74"/>
      <c r="Y27" s="74"/>
      <c r="Z27" s="74"/>
      <c r="AA27" s="74"/>
      <c r="AB27" s="74"/>
    </row>
    <row r="28" spans="6:28" x14ac:dyDescent="0.25">
      <c r="F28" s="74"/>
      <c r="G28" s="74"/>
      <c r="H28" s="74"/>
      <c r="I28" s="74"/>
      <c r="J28" s="74"/>
      <c r="K28" s="74"/>
      <c r="L28" s="74"/>
      <c r="M28" s="74"/>
      <c r="N28" s="74"/>
      <c r="O28" s="74"/>
      <c r="P28" s="74"/>
      <c r="Q28" s="74"/>
      <c r="R28" s="74"/>
      <c r="S28" s="74"/>
      <c r="T28" s="74"/>
      <c r="U28" s="74"/>
      <c r="V28" s="74"/>
      <c r="X28" s="74"/>
      <c r="Y28" s="74"/>
      <c r="Z28" s="74"/>
      <c r="AA28" s="74"/>
      <c r="AB28" s="74"/>
    </row>
    <row r="29" spans="6:28" ht="9" customHeight="1" x14ac:dyDescent="0.25">
      <c r="F29" s="43"/>
      <c r="G29" s="43"/>
      <c r="H29" s="43"/>
      <c r="I29" s="43"/>
      <c r="J29" s="43"/>
      <c r="L29" s="43"/>
      <c r="M29" s="43"/>
      <c r="N29" s="43"/>
      <c r="O29" s="43"/>
      <c r="P29" s="43"/>
      <c r="R29" s="43"/>
      <c r="S29" s="43"/>
      <c r="T29" s="43"/>
      <c r="U29" s="43"/>
      <c r="V29" s="43"/>
      <c r="X29" s="43"/>
      <c r="Y29" s="43"/>
      <c r="Z29" s="43"/>
      <c r="AA29" s="43"/>
      <c r="AB29" s="43"/>
    </row>
    <row r="30" spans="6:28" x14ac:dyDescent="0.25">
      <c r="F30" s="74"/>
      <c r="G30" s="74"/>
      <c r="H30" s="74"/>
      <c r="I30" s="74"/>
      <c r="J30" s="74"/>
      <c r="L30" s="74"/>
      <c r="M30" s="74"/>
      <c r="N30" s="74"/>
      <c r="O30" s="74"/>
      <c r="P30" s="74"/>
      <c r="R30" s="74"/>
      <c r="S30" s="74"/>
      <c r="T30" s="74"/>
      <c r="U30" s="74"/>
      <c r="V30" s="74"/>
      <c r="X30" s="74"/>
      <c r="Y30" s="74"/>
      <c r="Z30" s="74"/>
      <c r="AA30" s="74"/>
      <c r="AB30" s="74"/>
    </row>
    <row r="31" spans="6:28" x14ac:dyDescent="0.25">
      <c r="F31" s="74"/>
      <c r="G31" s="74"/>
      <c r="H31" s="74"/>
      <c r="I31" s="74"/>
      <c r="J31" s="74"/>
      <c r="L31" s="74"/>
      <c r="M31" s="74"/>
      <c r="N31" s="74"/>
      <c r="O31" s="74"/>
      <c r="P31" s="74"/>
      <c r="R31" s="74"/>
      <c r="S31" s="74"/>
      <c r="T31" s="74"/>
      <c r="U31" s="74"/>
      <c r="V31" s="74"/>
      <c r="X31" s="74"/>
      <c r="Y31" s="74"/>
      <c r="Z31" s="74"/>
      <c r="AA31" s="74"/>
      <c r="AB31" s="74"/>
    </row>
    <row r="32" spans="6:28" x14ac:dyDescent="0.25">
      <c r="F32" s="74"/>
      <c r="G32" s="74"/>
      <c r="H32" s="74"/>
      <c r="I32" s="74"/>
      <c r="J32" s="74"/>
      <c r="L32" s="74"/>
      <c r="M32" s="74"/>
      <c r="N32" s="74"/>
      <c r="O32" s="74"/>
      <c r="P32" s="74"/>
      <c r="R32" s="74"/>
      <c r="S32" s="74"/>
      <c r="T32" s="74"/>
      <c r="U32" s="74"/>
      <c r="V32" s="74"/>
      <c r="X32" s="74"/>
      <c r="Y32" s="74"/>
      <c r="Z32" s="74"/>
      <c r="AA32" s="74"/>
      <c r="AB32" s="74"/>
    </row>
    <row r="33" spans="6:28" x14ac:dyDescent="0.25">
      <c r="F33" s="74"/>
      <c r="G33" s="74"/>
      <c r="H33" s="74"/>
      <c r="I33" s="74"/>
      <c r="J33" s="74"/>
      <c r="L33" s="74"/>
      <c r="M33" s="74"/>
      <c r="N33" s="74"/>
      <c r="O33" s="74"/>
      <c r="P33" s="74"/>
      <c r="R33" s="74"/>
      <c r="S33" s="74"/>
      <c r="T33" s="74"/>
      <c r="U33" s="74"/>
      <c r="V33" s="74"/>
      <c r="X33" s="74"/>
      <c r="Y33" s="74"/>
      <c r="Z33" s="74"/>
      <c r="AA33" s="74"/>
      <c r="AB33" s="74"/>
    </row>
    <row r="34" spans="6:28" x14ac:dyDescent="0.25">
      <c r="F34" s="74"/>
      <c r="G34" s="74"/>
      <c r="H34" s="74"/>
      <c r="I34" s="74"/>
      <c r="J34" s="74"/>
      <c r="L34" s="74"/>
      <c r="M34" s="74"/>
      <c r="N34" s="74"/>
      <c r="O34" s="74"/>
      <c r="P34" s="74"/>
      <c r="R34" s="74"/>
      <c r="S34" s="74"/>
      <c r="T34" s="74"/>
      <c r="U34" s="74"/>
      <c r="V34" s="74"/>
      <c r="X34" s="74"/>
      <c r="Y34" s="74"/>
      <c r="Z34" s="74"/>
      <c r="AA34" s="74"/>
      <c r="AB34" s="74"/>
    </row>
    <row r="35" spans="6:28" x14ac:dyDescent="0.25">
      <c r="F35" s="74"/>
      <c r="G35" s="74"/>
      <c r="H35" s="74"/>
      <c r="I35" s="74"/>
      <c r="J35" s="74"/>
      <c r="L35" s="74"/>
      <c r="M35" s="74"/>
      <c r="N35" s="74"/>
      <c r="O35" s="74"/>
      <c r="P35" s="74"/>
      <c r="R35" s="74"/>
      <c r="S35" s="74"/>
      <c r="T35" s="74"/>
      <c r="U35" s="74"/>
      <c r="V35" s="74"/>
      <c r="X35" s="74"/>
      <c r="Y35" s="74"/>
      <c r="Z35" s="74"/>
      <c r="AA35" s="74"/>
      <c r="AB35" s="74"/>
    </row>
    <row r="36" spans="6:28" x14ac:dyDescent="0.25">
      <c r="F36" s="74"/>
      <c r="G36" s="74"/>
      <c r="H36" s="74"/>
      <c r="I36" s="74"/>
      <c r="J36" s="74"/>
      <c r="L36" s="74"/>
      <c r="M36" s="74"/>
      <c r="N36" s="74"/>
      <c r="O36" s="74"/>
      <c r="P36" s="74"/>
      <c r="R36" s="74"/>
      <c r="S36" s="74"/>
      <c r="T36" s="74"/>
      <c r="U36" s="74"/>
      <c r="V36" s="74"/>
      <c r="X36" s="74"/>
      <c r="Y36" s="74"/>
      <c r="Z36" s="74"/>
      <c r="AA36" s="74"/>
      <c r="AB36" s="74"/>
    </row>
    <row r="37" spans="6:28" x14ac:dyDescent="0.25">
      <c r="F37" s="74"/>
      <c r="G37" s="74"/>
      <c r="H37" s="74"/>
      <c r="I37" s="74"/>
      <c r="J37" s="74"/>
      <c r="L37" s="74"/>
      <c r="M37" s="74"/>
      <c r="N37" s="74"/>
      <c r="O37" s="74"/>
      <c r="P37" s="74"/>
      <c r="R37" s="74"/>
      <c r="S37" s="74"/>
      <c r="T37" s="74"/>
      <c r="U37" s="74"/>
      <c r="V37" s="74"/>
      <c r="X37" s="74"/>
      <c r="Y37" s="74"/>
      <c r="Z37" s="74"/>
      <c r="AA37" s="74"/>
      <c r="AB37" s="74"/>
    </row>
    <row r="38" spans="6:28" ht="9" customHeight="1" x14ac:dyDescent="0.25"/>
  </sheetData>
  <sheetProtection sheet="1" objects="1" scenarios="1"/>
  <mergeCells count="7">
    <mergeCell ref="X6:AB28"/>
    <mergeCell ref="X30:AB37"/>
    <mergeCell ref="R30:V37"/>
    <mergeCell ref="L30:P37"/>
    <mergeCell ref="F30:J37"/>
    <mergeCell ref="F12:V19"/>
    <mergeCell ref="F21:V28"/>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M14"/>
  <sheetViews>
    <sheetView showGridLines="0" showRowColHeaders="0" workbookViewId="0">
      <selection activeCell="D6" sqref="D6"/>
    </sheetView>
  </sheetViews>
  <sheetFormatPr defaultColWidth="0" defaultRowHeight="15" x14ac:dyDescent="0.25"/>
  <cols>
    <col min="1" max="1" width="3.140625" customWidth="1"/>
    <col min="2" max="2" width="11.5703125" customWidth="1"/>
    <col min="3" max="3" width="3.140625" customWidth="1"/>
    <col min="4" max="4" width="29.140625" bestFit="1" customWidth="1"/>
    <col min="5" max="5" width="3.140625" customWidth="1"/>
    <col min="6" max="6" width="15.28515625" bestFit="1" customWidth="1"/>
    <col min="7" max="7" width="3.140625" customWidth="1"/>
    <col min="8" max="8" width="23" bestFit="1" customWidth="1"/>
    <col min="9" max="9" width="3.140625" customWidth="1"/>
    <col min="10" max="10" width="12.85546875" customWidth="1"/>
    <col min="11" max="11" width="3.140625" customWidth="1"/>
    <col min="12" max="12" width="12.85546875" customWidth="1"/>
    <col min="13" max="13" width="3.140625" customWidth="1"/>
    <col min="14" max="16384" width="9.140625" hidden="1"/>
  </cols>
  <sheetData>
    <row r="2" spans="2:12" x14ac:dyDescent="0.25">
      <c r="B2" t="s">
        <v>20</v>
      </c>
      <c r="D2" t="s">
        <v>21</v>
      </c>
      <c r="F2" t="s">
        <v>6</v>
      </c>
      <c r="H2" t="s">
        <v>11</v>
      </c>
      <c r="J2" t="s">
        <v>19</v>
      </c>
      <c r="L2" t="s">
        <v>62</v>
      </c>
    </row>
    <row r="3" spans="2:12" x14ac:dyDescent="0.25">
      <c r="B3" t="s">
        <v>22</v>
      </c>
      <c r="D3" t="s">
        <v>25</v>
      </c>
      <c r="F3" t="s">
        <v>28</v>
      </c>
      <c r="H3" t="s">
        <v>30</v>
      </c>
      <c r="J3" t="s">
        <v>32</v>
      </c>
      <c r="L3" s="34" t="s">
        <v>63</v>
      </c>
    </row>
    <row r="4" spans="2:12" x14ac:dyDescent="0.25">
      <c r="B4" t="s">
        <v>24</v>
      </c>
      <c r="D4" t="s">
        <v>26</v>
      </c>
      <c r="F4" t="s">
        <v>29</v>
      </c>
      <c r="H4" t="s">
        <v>31</v>
      </c>
      <c r="J4" t="s">
        <v>33</v>
      </c>
      <c r="L4" s="34" t="s">
        <v>64</v>
      </c>
    </row>
    <row r="5" spans="2:12" x14ac:dyDescent="0.25">
      <c r="B5" t="s">
        <v>23</v>
      </c>
      <c r="D5" t="s">
        <v>27</v>
      </c>
      <c r="F5" t="s">
        <v>42</v>
      </c>
      <c r="J5" t="s">
        <v>34</v>
      </c>
      <c r="L5" s="34" t="s">
        <v>65</v>
      </c>
    </row>
    <row r="6" spans="2:12" x14ac:dyDescent="0.25">
      <c r="L6" s="34" t="s">
        <v>66</v>
      </c>
    </row>
    <row r="7" spans="2:12" x14ac:dyDescent="0.25">
      <c r="L7" s="34" t="s">
        <v>50</v>
      </c>
    </row>
    <row r="8" spans="2:12" x14ac:dyDescent="0.25">
      <c r="L8" s="34" t="s">
        <v>67</v>
      </c>
    </row>
    <row r="9" spans="2:12" x14ac:dyDescent="0.25">
      <c r="L9" s="34" t="s">
        <v>68</v>
      </c>
    </row>
    <row r="10" spans="2:12" x14ac:dyDescent="0.25">
      <c r="L10" s="34" t="s">
        <v>69</v>
      </c>
    </row>
    <row r="11" spans="2:12" x14ac:dyDescent="0.25">
      <c r="L11" s="34" t="s">
        <v>70</v>
      </c>
    </row>
    <row r="12" spans="2:12" x14ac:dyDescent="0.25">
      <c r="L12" s="34" t="s">
        <v>71</v>
      </c>
    </row>
    <row r="13" spans="2:12" x14ac:dyDescent="0.25">
      <c r="L13" s="34" t="s">
        <v>72</v>
      </c>
    </row>
    <row r="14" spans="2:12" x14ac:dyDescent="0.25">
      <c r="L14" s="34" t="s">
        <v>73</v>
      </c>
    </row>
  </sheetData>
  <pageMargins left="0.7" right="0.7" top="0.75" bottom="0.75" header="0.3" footer="0.3"/>
  <tableParts count="6">
    <tablePart r:id="rId1"/>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Overall Data</vt:lpstr>
      <vt:lpstr>Previous Month Pivots</vt:lpstr>
      <vt:lpstr>Current Month Pivots</vt:lpstr>
      <vt:lpstr>Monthly Dashboard</vt:lpstr>
      <vt:lpstr>Finding View &amp; Input</vt:lpstr>
      <vt:lpstr>Overall Pivots</vt:lpstr>
      <vt:lpstr>Overall Dashboard</vt:lpstr>
      <vt:lpstr>Dropdown Lists</vt:lpstr>
      <vt:lpstr>Criticality</vt:lpstr>
      <vt:lpstr>Finding_Status</vt:lpstr>
      <vt:lpstr>'Previous Month Pivots'!Months</vt:lpstr>
      <vt:lpstr>Months</vt:lpstr>
      <vt:lpstr>Plan_Status</vt:lpstr>
      <vt:lpstr>Source</vt:lpstr>
      <vt:lpstr>Tech_Dependency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Lucas Beattie</dc:creator>
  <cp:lastModifiedBy>Lucas Beattie</cp:lastModifiedBy>
  <dcterms:created xsi:type="dcterms:W3CDTF">2021-11-06T12:52:58Z</dcterms:created>
  <dcterms:modified xsi:type="dcterms:W3CDTF">2021-11-09T14:43:11Z</dcterms:modified>
</cp:coreProperties>
</file>