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cas-b\Documents\excel portfolio\best sheets for portfolio\"/>
    </mc:Choice>
  </mc:AlternateContent>
  <bookViews>
    <workbookView xWindow="0" yWindow="0" windowWidth="23040" windowHeight="9060"/>
  </bookViews>
  <sheets>
    <sheet name="UserInput" sheetId="1" r:id="rId1"/>
    <sheet name="Coordinates" sheetId="2" state="hidden" r:id="rId2"/>
    <sheet name="Calculations" sheetId="3" state="hidden" r:id="rId3"/>
    <sheet name="Results" sheetId="4" state="hidden" r:id="rId4"/>
  </sheets>
  <definedNames>
    <definedName name="_xlnm.Print_Area" localSheetId="0">UserInput!$A$1:$L$22</definedName>
  </definedNames>
  <calcPr calcId="162913"/>
</workbook>
</file>

<file path=xl/calcChain.xml><?xml version="1.0" encoding="utf-8"?>
<calcChain xmlns="http://schemas.openxmlformats.org/spreadsheetml/2006/main">
  <c r="T47" i="3" l="1"/>
  <c r="S47" i="3"/>
  <c r="R47" i="3"/>
  <c r="Q47" i="3"/>
  <c r="P47" i="3"/>
  <c r="O47" i="3"/>
  <c r="N47" i="3"/>
  <c r="M47" i="3"/>
  <c r="L47" i="3"/>
  <c r="K47" i="3"/>
  <c r="J47" i="3"/>
  <c r="I47" i="3"/>
  <c r="T46" i="3"/>
  <c r="S46" i="3"/>
  <c r="R46" i="3"/>
  <c r="Q46" i="3"/>
  <c r="P46" i="3"/>
  <c r="O46" i="3"/>
  <c r="N46" i="3"/>
  <c r="M46" i="3"/>
  <c r="L46" i="3"/>
  <c r="K46" i="3"/>
  <c r="J46" i="3"/>
  <c r="I46" i="3"/>
  <c r="T45" i="3"/>
  <c r="S45" i="3"/>
  <c r="R45" i="3"/>
  <c r="Q45" i="3"/>
  <c r="P45" i="3"/>
  <c r="O45" i="3"/>
  <c r="N45" i="3"/>
  <c r="M45" i="3"/>
  <c r="L45" i="3"/>
  <c r="K45" i="3"/>
  <c r="J45" i="3"/>
  <c r="I45" i="3"/>
  <c r="T44" i="3"/>
  <c r="S44" i="3"/>
  <c r="R44" i="3"/>
  <c r="Q44" i="3"/>
  <c r="P44" i="3"/>
  <c r="O44" i="3"/>
  <c r="N44" i="3"/>
  <c r="M44" i="3"/>
  <c r="L44" i="3"/>
  <c r="K44" i="3"/>
  <c r="J44" i="3"/>
  <c r="I44" i="3"/>
  <c r="T43" i="3"/>
  <c r="S43" i="3"/>
  <c r="R43" i="3"/>
  <c r="Q43" i="3"/>
  <c r="P43" i="3"/>
  <c r="O43" i="3"/>
  <c r="N43" i="3"/>
  <c r="M43" i="3"/>
  <c r="L43" i="3"/>
  <c r="K43" i="3"/>
  <c r="J43" i="3"/>
  <c r="I43" i="3"/>
  <c r="T42" i="3"/>
  <c r="S42" i="3"/>
  <c r="R42" i="3"/>
  <c r="Q42" i="3"/>
  <c r="P42" i="3"/>
  <c r="O42" i="3"/>
  <c r="N42" i="3"/>
  <c r="M42" i="3"/>
  <c r="L42" i="3"/>
  <c r="K42" i="3"/>
  <c r="J42" i="3"/>
  <c r="I42" i="3"/>
  <c r="T41" i="3"/>
  <c r="S41" i="3"/>
  <c r="R41" i="3"/>
  <c r="Q41" i="3"/>
  <c r="P41" i="3"/>
  <c r="O41" i="3"/>
  <c r="N41" i="3"/>
  <c r="M41" i="3"/>
  <c r="L41" i="3"/>
  <c r="K41" i="3"/>
  <c r="J41" i="3"/>
  <c r="I41" i="3"/>
  <c r="T40" i="3"/>
  <c r="S40" i="3"/>
  <c r="R40" i="3"/>
  <c r="Q40" i="3"/>
  <c r="P40" i="3"/>
  <c r="O40" i="3"/>
  <c r="N40" i="3"/>
  <c r="M40" i="3"/>
  <c r="L40" i="3"/>
  <c r="K40" i="3"/>
  <c r="J40" i="3"/>
  <c r="I40" i="3"/>
  <c r="T39" i="3"/>
  <c r="S39" i="3"/>
  <c r="R39" i="3"/>
  <c r="Q39" i="3"/>
  <c r="P39" i="3"/>
  <c r="O39" i="3"/>
  <c r="N39" i="3"/>
  <c r="M39" i="3"/>
  <c r="L39" i="3"/>
  <c r="K39" i="3"/>
  <c r="J39" i="3"/>
  <c r="I39" i="3"/>
  <c r="T38" i="3"/>
  <c r="S38" i="3"/>
  <c r="R38" i="3"/>
  <c r="Q38" i="3"/>
  <c r="P38" i="3"/>
  <c r="O38" i="3"/>
  <c r="N38" i="3"/>
  <c r="M38" i="3"/>
  <c r="L38" i="3"/>
  <c r="K38" i="3"/>
  <c r="J38" i="3"/>
  <c r="I38" i="3"/>
  <c r="T37" i="3"/>
  <c r="S37" i="3"/>
  <c r="R37" i="3"/>
  <c r="Q37" i="3"/>
  <c r="P37" i="3"/>
  <c r="O37" i="3"/>
  <c r="N37" i="3"/>
  <c r="M37" i="3"/>
  <c r="L37" i="3"/>
  <c r="K37" i="3"/>
  <c r="J37" i="3"/>
  <c r="I37" i="3"/>
  <c r="T36" i="3"/>
  <c r="S36" i="3"/>
  <c r="R36" i="3"/>
  <c r="Q36" i="3"/>
  <c r="P36" i="3"/>
  <c r="O36" i="3"/>
  <c r="N36" i="3"/>
  <c r="M36" i="3"/>
  <c r="L36" i="3"/>
  <c r="K36" i="3"/>
  <c r="J36" i="3"/>
  <c r="I36" i="3"/>
  <c r="T35" i="3"/>
  <c r="S35" i="3"/>
  <c r="R35" i="3"/>
  <c r="Q35" i="3"/>
  <c r="P35" i="3"/>
  <c r="O35" i="3"/>
  <c r="N35" i="3"/>
  <c r="M35" i="3"/>
  <c r="L35" i="3"/>
  <c r="K35" i="3"/>
  <c r="J35" i="3"/>
  <c r="I35" i="3"/>
  <c r="P31" i="3"/>
  <c r="O31" i="3"/>
  <c r="N31" i="3"/>
  <c r="M31" i="3"/>
  <c r="L31" i="3"/>
  <c r="K31" i="3"/>
  <c r="J31" i="3"/>
  <c r="I31" i="3"/>
  <c r="H31" i="3"/>
  <c r="G31" i="3"/>
  <c r="F31" i="3"/>
  <c r="E31" i="3"/>
  <c r="P30" i="3"/>
  <c r="O30" i="3"/>
  <c r="N30" i="3"/>
  <c r="M30" i="3"/>
  <c r="L30" i="3"/>
  <c r="K30" i="3"/>
  <c r="J30" i="3"/>
  <c r="I30" i="3"/>
  <c r="H30" i="3"/>
  <c r="G30" i="3"/>
  <c r="F30" i="3"/>
  <c r="E30" i="3"/>
  <c r="P29" i="3"/>
  <c r="O29" i="3"/>
  <c r="N29" i="3"/>
  <c r="M29" i="3"/>
  <c r="L29" i="3"/>
  <c r="K29" i="3"/>
  <c r="J29" i="3"/>
  <c r="I29" i="3"/>
  <c r="H29" i="3"/>
  <c r="G29" i="3"/>
  <c r="F29" i="3"/>
  <c r="E29" i="3"/>
  <c r="P28" i="3"/>
  <c r="O28" i="3"/>
  <c r="N28" i="3"/>
  <c r="M28" i="3"/>
  <c r="L28" i="3"/>
  <c r="K28" i="3"/>
  <c r="J28" i="3"/>
  <c r="I28" i="3"/>
  <c r="H28" i="3"/>
  <c r="G28" i="3"/>
  <c r="F28" i="3"/>
  <c r="E28" i="3"/>
  <c r="P27" i="3"/>
  <c r="O27" i="3"/>
  <c r="N27" i="3"/>
  <c r="M27" i="3"/>
  <c r="L27" i="3"/>
  <c r="K27" i="3"/>
  <c r="J27" i="3"/>
  <c r="I27" i="3"/>
  <c r="H27" i="3"/>
  <c r="G27" i="3"/>
  <c r="F27" i="3"/>
  <c r="E27" i="3"/>
  <c r="P26" i="3"/>
  <c r="O26" i="3"/>
  <c r="N26" i="3"/>
  <c r="M26" i="3"/>
  <c r="L26" i="3"/>
  <c r="K26" i="3"/>
  <c r="J26" i="3"/>
  <c r="I26" i="3"/>
  <c r="H26" i="3"/>
  <c r="G26" i="3"/>
  <c r="F26" i="3"/>
  <c r="E26" i="3"/>
  <c r="P25" i="3"/>
  <c r="O25" i="3"/>
  <c r="N25" i="3"/>
  <c r="M25" i="3"/>
  <c r="L25" i="3"/>
  <c r="K25" i="3"/>
  <c r="J25" i="3"/>
  <c r="I25" i="3"/>
  <c r="H25" i="3"/>
  <c r="G25" i="3"/>
  <c r="F25" i="3"/>
  <c r="E25" i="3"/>
  <c r="P24" i="3"/>
  <c r="O24" i="3"/>
  <c r="N24" i="3"/>
  <c r="M24" i="3"/>
  <c r="L24" i="3"/>
  <c r="K24" i="3"/>
  <c r="J24" i="3"/>
  <c r="I24" i="3"/>
  <c r="H24" i="3"/>
  <c r="G24" i="3"/>
  <c r="F24" i="3"/>
  <c r="E24" i="3"/>
  <c r="P23" i="3"/>
  <c r="O23" i="3"/>
  <c r="N23" i="3"/>
  <c r="M23" i="3"/>
  <c r="L23" i="3"/>
  <c r="K23" i="3"/>
  <c r="J23" i="3"/>
  <c r="I23" i="3"/>
  <c r="H23" i="3"/>
  <c r="G23" i="3"/>
  <c r="F23" i="3"/>
  <c r="E23" i="3"/>
  <c r="P22" i="3"/>
  <c r="O22" i="3"/>
  <c r="N22" i="3"/>
  <c r="M22" i="3"/>
  <c r="L22" i="3"/>
  <c r="K22" i="3"/>
  <c r="J22" i="3"/>
  <c r="I22" i="3"/>
  <c r="H22" i="3"/>
  <c r="G22" i="3"/>
  <c r="F22" i="3"/>
  <c r="E22" i="3"/>
  <c r="P21" i="3"/>
  <c r="O21" i="3"/>
  <c r="N21" i="3"/>
  <c r="M21" i="3"/>
  <c r="L21" i="3"/>
  <c r="K21" i="3"/>
  <c r="J21" i="3"/>
  <c r="I21" i="3"/>
  <c r="H21" i="3"/>
  <c r="G21" i="3"/>
  <c r="F21" i="3"/>
  <c r="E21" i="3"/>
  <c r="P20" i="3"/>
  <c r="O20" i="3"/>
  <c r="N20" i="3"/>
  <c r="M20" i="3"/>
  <c r="L20" i="3"/>
  <c r="K20" i="3"/>
  <c r="J20" i="3"/>
  <c r="I20" i="3"/>
  <c r="H20" i="3"/>
  <c r="G20" i="3"/>
  <c r="F20" i="3"/>
  <c r="E20" i="3"/>
  <c r="P19" i="3"/>
  <c r="O19" i="3"/>
  <c r="N19" i="3"/>
  <c r="M19" i="3"/>
  <c r="L19" i="3"/>
  <c r="K19" i="3"/>
  <c r="J19" i="3"/>
  <c r="I19" i="3"/>
  <c r="H19" i="3"/>
  <c r="G19" i="3"/>
  <c r="F19" i="3"/>
  <c r="E19" i="3"/>
  <c r="B12" i="1" l="1"/>
  <c r="B39" i="2" l="1"/>
  <c r="C39" i="2"/>
  <c r="B38" i="2"/>
  <c r="C38" i="2"/>
  <c r="B4" i="2"/>
  <c r="C4" i="2"/>
  <c r="B5" i="2"/>
  <c r="C5" i="2"/>
  <c r="B6" i="2"/>
  <c r="C6" i="2"/>
  <c r="B7" i="2"/>
  <c r="C7" i="2"/>
  <c r="B8" i="2"/>
  <c r="C8" i="2"/>
  <c r="B9" i="2"/>
  <c r="C9" i="2"/>
  <c r="B10" i="2"/>
  <c r="C10" i="2"/>
  <c r="B11" i="2"/>
  <c r="C11" i="2"/>
  <c r="B12" i="2"/>
  <c r="C12" i="2"/>
  <c r="B13" i="2"/>
  <c r="C13" i="2"/>
  <c r="B14" i="2"/>
  <c r="C14" i="2"/>
  <c r="B15" i="2"/>
  <c r="C15" i="2"/>
  <c r="B16" i="2"/>
  <c r="C16" i="2"/>
  <c r="B17" i="2"/>
  <c r="C17" i="2"/>
  <c r="B18" i="2"/>
  <c r="C18" i="2"/>
  <c r="B19" i="2"/>
  <c r="C19" i="2"/>
  <c r="B20" i="2"/>
  <c r="C20" i="2"/>
  <c r="B21" i="2"/>
  <c r="C21" i="2"/>
  <c r="B22" i="2"/>
  <c r="C22" i="2"/>
  <c r="B23" i="2"/>
  <c r="C23" i="2"/>
  <c r="B24" i="2"/>
  <c r="C24" i="2"/>
  <c r="B25" i="2"/>
  <c r="C25" i="2"/>
  <c r="B26" i="2"/>
  <c r="C26" i="2"/>
  <c r="B27" i="2"/>
  <c r="C27" i="2"/>
  <c r="B28" i="2"/>
  <c r="C28" i="2"/>
  <c r="B29" i="2"/>
  <c r="C29" i="2"/>
  <c r="B30" i="2"/>
  <c r="C30" i="2"/>
  <c r="B31" i="2"/>
  <c r="C31" i="2"/>
  <c r="B32" i="2"/>
  <c r="C32" i="2"/>
  <c r="B33" i="2"/>
  <c r="C33" i="2"/>
  <c r="B34" i="2"/>
  <c r="C34" i="2"/>
  <c r="B35" i="2"/>
  <c r="C35" i="2"/>
  <c r="B36" i="2"/>
  <c r="C36" i="2"/>
  <c r="B37" i="2"/>
  <c r="C37" i="2"/>
  <c r="C3" i="2"/>
  <c r="B3" i="2"/>
  <c r="E54" i="3" l="1"/>
  <c r="E55" i="3" s="1"/>
  <c r="E56" i="3" s="1"/>
  <c r="E57" i="3" s="1"/>
  <c r="E58" i="3" s="1"/>
  <c r="E59" i="3" s="1"/>
  <c r="E60" i="3" s="1"/>
  <c r="E61" i="3" s="1"/>
  <c r="E62" i="3" s="1"/>
  <c r="D15" i="3"/>
  <c r="D5" i="3"/>
  <c r="A6" i="3"/>
  <c r="A7" i="3" s="1"/>
  <c r="A8" i="3" s="1"/>
  <c r="D8" i="3" s="1"/>
  <c r="D7" i="3" l="1"/>
  <c r="D6" i="3"/>
  <c r="F14" i="4"/>
  <c r="F13" i="4"/>
  <c r="F12" i="4"/>
  <c r="F11" i="4"/>
  <c r="F10" i="4"/>
  <c r="F9" i="4"/>
  <c r="F8" i="4"/>
  <c r="F7" i="4"/>
  <c r="F6" i="4"/>
  <c r="F5" i="4"/>
  <c r="F4" i="4"/>
  <c r="F3" i="4"/>
  <c r="B13" i="1" l="1"/>
  <c r="F2" i="4" l="1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B6" i="1" l="1"/>
  <c r="A52" i="3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36" i="3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D20" i="3"/>
  <c r="D21" i="3"/>
  <c r="D22" i="3"/>
  <c r="D23" i="3"/>
  <c r="C7" i="3"/>
  <c r="C5" i="3"/>
  <c r="C20" i="3" l="1"/>
  <c r="C21" i="3"/>
  <c r="C22" i="3"/>
  <c r="C23" i="3"/>
  <c r="C24" i="3"/>
  <c r="C25" i="3"/>
  <c r="C26" i="3"/>
  <c r="C27" i="3"/>
  <c r="C28" i="3"/>
  <c r="C29" i="3"/>
  <c r="C30" i="3"/>
  <c r="C31" i="3"/>
  <c r="G47" i="3" s="1"/>
  <c r="C19" i="3"/>
  <c r="A20" i="3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9" i="3" l="1"/>
  <c r="C4" i="3"/>
  <c r="C6" i="3"/>
  <c r="C8" i="3"/>
  <c r="C9" i="3"/>
  <c r="C10" i="3"/>
  <c r="C11" i="3"/>
  <c r="C12" i="3"/>
  <c r="C13" i="3"/>
  <c r="C14" i="3"/>
  <c r="C15" i="3"/>
  <c r="C3" i="3"/>
  <c r="D3" i="3"/>
  <c r="D19" i="3" s="1"/>
  <c r="A10" i="3" l="1"/>
  <c r="D9" i="3"/>
  <c r="A11" i="3" l="1"/>
  <c r="D10" i="3"/>
  <c r="D24" i="3"/>
  <c r="B19" i="1"/>
  <c r="B9" i="3" s="1"/>
  <c r="B25" i="3" s="1"/>
  <c r="B41" i="3" s="1"/>
  <c r="C41" i="3" s="1"/>
  <c r="B8" i="3" l="1"/>
  <c r="B24" i="3" s="1"/>
  <c r="B40" i="3" s="1"/>
  <c r="C40" i="3" s="1"/>
  <c r="E40" i="3" s="1"/>
  <c r="F40" i="3" s="1"/>
  <c r="D11" i="3"/>
  <c r="A12" i="3"/>
  <c r="B7" i="3"/>
  <c r="B23" i="3" s="1"/>
  <c r="B39" i="3" s="1"/>
  <c r="C39" i="3" s="1"/>
  <c r="E39" i="3" s="1"/>
  <c r="F39" i="3" s="1"/>
  <c r="B5" i="3"/>
  <c r="B21" i="3" s="1"/>
  <c r="B37" i="3" s="1"/>
  <c r="C37" i="3" s="1"/>
  <c r="E37" i="3" s="1"/>
  <c r="F37" i="3" s="1"/>
  <c r="B4" i="3"/>
  <c r="B20" i="3" s="1"/>
  <c r="B36" i="3" s="1"/>
  <c r="C36" i="3" s="1"/>
  <c r="E36" i="3" s="1"/>
  <c r="F36" i="3" s="1"/>
  <c r="B6" i="3"/>
  <c r="B22" i="3" s="1"/>
  <c r="B38" i="3" s="1"/>
  <c r="C38" i="3" s="1"/>
  <c r="E41" i="3"/>
  <c r="F41" i="3" s="1"/>
  <c r="D25" i="3"/>
  <c r="B20" i="1"/>
  <c r="D41" i="3" l="1"/>
  <c r="D47" i="3"/>
  <c r="D40" i="3"/>
  <c r="H40" i="3"/>
  <c r="A13" i="3"/>
  <c r="D12" i="3"/>
  <c r="B21" i="1"/>
  <c r="B14" i="1" s="1"/>
  <c r="D35" i="3"/>
  <c r="E35" i="3" s="1"/>
  <c r="G35" i="3" s="1"/>
  <c r="H37" i="3"/>
  <c r="H39" i="3"/>
  <c r="H36" i="3"/>
  <c r="D37" i="3"/>
  <c r="H38" i="3"/>
  <c r="D39" i="3"/>
  <c r="D38" i="3"/>
  <c r="D36" i="3"/>
  <c r="H35" i="3"/>
  <c r="H41" i="3"/>
  <c r="E38" i="3"/>
  <c r="F38" i="3" s="1"/>
  <c r="D26" i="3"/>
  <c r="H42" i="3" s="1"/>
  <c r="B10" i="3"/>
  <c r="B26" i="3" s="1"/>
  <c r="B42" i="3" s="1"/>
  <c r="C42" i="3" s="1"/>
  <c r="D27" i="3"/>
  <c r="H43" i="3" s="1"/>
  <c r="B11" i="3"/>
  <c r="B27" i="3" s="1"/>
  <c r="B43" i="3" s="1"/>
  <c r="C43" i="3" s="1"/>
  <c r="A14" i="3" l="1"/>
  <c r="D14" i="3" s="1"/>
  <c r="D13" i="3"/>
  <c r="E43" i="3"/>
  <c r="F43" i="3" s="1"/>
  <c r="E42" i="3"/>
  <c r="F42" i="3" s="1"/>
  <c r="D43" i="3"/>
  <c r="D42" i="3"/>
  <c r="D28" i="3"/>
  <c r="H44" i="3" s="1"/>
  <c r="B12" i="3"/>
  <c r="B28" i="3" s="1"/>
  <c r="B44" i="3" s="1"/>
  <c r="C44" i="3" s="1"/>
  <c r="E44" i="3" l="1"/>
  <c r="F44" i="3" s="1"/>
  <c r="D44" i="3"/>
  <c r="D29" i="3"/>
  <c r="H45" i="3" s="1"/>
  <c r="B13" i="3"/>
  <c r="B29" i="3" s="1"/>
  <c r="B45" i="3" s="1"/>
  <c r="C45" i="3" s="1"/>
  <c r="E45" i="3" l="1"/>
  <c r="F45" i="3" s="1"/>
  <c r="D45" i="3"/>
  <c r="D30" i="3"/>
  <c r="H46" i="3" s="1"/>
  <c r="B14" i="3"/>
  <c r="B30" i="3" s="1"/>
  <c r="B46" i="3" s="1"/>
  <c r="C46" i="3" s="1"/>
  <c r="E46" i="3" l="1"/>
  <c r="F46" i="3" s="1"/>
  <c r="D46" i="3"/>
  <c r="D31" i="3"/>
  <c r="H47" i="3" s="1"/>
  <c r="B31" i="3"/>
  <c r="B47" i="3" s="1"/>
  <c r="G36" i="3" l="1"/>
  <c r="G46" i="3"/>
  <c r="G42" i="3"/>
  <c r="G38" i="3"/>
  <c r="G37" i="3"/>
  <c r="G40" i="3"/>
  <c r="G44" i="3"/>
  <c r="G43" i="3"/>
  <c r="G45" i="3"/>
  <c r="G41" i="3"/>
  <c r="G39" i="3"/>
</calcChain>
</file>

<file path=xl/sharedStrings.xml><?xml version="1.0" encoding="utf-8"?>
<sst xmlns="http://schemas.openxmlformats.org/spreadsheetml/2006/main" count="105" uniqueCount="74">
  <si>
    <t>Diameter</t>
  </si>
  <si>
    <t>No. Bars</t>
  </si>
  <si>
    <t>Clear Cover</t>
  </si>
  <si>
    <t>Circle Coordinates</t>
  </si>
  <si>
    <t>Node No.</t>
  </si>
  <si>
    <t>X</t>
  </si>
  <si>
    <t>Y</t>
  </si>
  <si>
    <t>Rebar Coordinates</t>
  </si>
  <si>
    <t>Bar No.</t>
  </si>
  <si>
    <t>Geometric Properties</t>
  </si>
  <si>
    <t>Concrete Properties</t>
  </si>
  <si>
    <t>β'</t>
  </si>
  <si>
    <t>Steel Properties</t>
  </si>
  <si>
    <t>in</t>
  </si>
  <si>
    <t>psi</t>
  </si>
  <si>
    <t>ksi</t>
  </si>
  <si>
    <t>pcf</t>
  </si>
  <si>
    <t>Strains</t>
  </si>
  <si>
    <t>Point No.</t>
  </si>
  <si>
    <t>c</t>
  </si>
  <si>
    <t>εsmax</t>
  </si>
  <si>
    <t>εsbars</t>
  </si>
  <si>
    <t>εc</t>
  </si>
  <si>
    <t>N/A</t>
  </si>
  <si>
    <t>fc</t>
  </si>
  <si>
    <t>fsmax</t>
  </si>
  <si>
    <t>fsbars</t>
  </si>
  <si>
    <t>Stresses (ksi)</t>
  </si>
  <si>
    <t>Forces (kip)</t>
  </si>
  <si>
    <t>Fc</t>
  </si>
  <si>
    <t>Fsbars</t>
  </si>
  <si>
    <r>
      <t>a=</t>
    </r>
    <r>
      <rPr>
        <sz val="11"/>
        <color theme="1"/>
        <rFont val="Calibri"/>
        <family val="2"/>
      </rPr>
      <t>β'c</t>
    </r>
  </si>
  <si>
    <t>Results</t>
  </si>
  <si>
    <t>P (kip)</t>
  </si>
  <si>
    <t>M (kip*in)</t>
  </si>
  <si>
    <t>φ (1/in)</t>
  </si>
  <si>
    <t>Ascomp</t>
  </si>
  <si>
    <t>Accomp</t>
  </si>
  <si>
    <t>Fsbarmax</t>
  </si>
  <si>
    <t>e (in)</t>
  </si>
  <si>
    <t>NOTE: Rebar diameters N.T.S.</t>
  </si>
  <si>
    <t>kip-in</t>
  </si>
  <si>
    <t>CGcomp</t>
  </si>
  <si>
    <t>Compression</t>
  </si>
  <si>
    <t>Tension</t>
  </si>
  <si>
    <t>εsmax description</t>
  </si>
  <si>
    <t>compression</t>
  </si>
  <si>
    <t>tension</t>
  </si>
  <si>
    <t>0εsy</t>
  </si>
  <si>
    <t>Description</t>
  </si>
  <si>
    <t>Balanced</t>
  </si>
  <si>
    <r>
      <t>A</t>
    </r>
    <r>
      <rPr>
        <vertAlign val="subscript"/>
        <sz val="11"/>
        <color rgb="FFE0FBFC"/>
        <rFont val="Calibri"/>
        <family val="2"/>
        <scheme val="minor"/>
      </rPr>
      <t>g</t>
    </r>
  </si>
  <si>
    <r>
      <t>in</t>
    </r>
    <r>
      <rPr>
        <i/>
        <vertAlign val="superscript"/>
        <sz val="11"/>
        <color rgb="FFE0FBFC"/>
        <rFont val="Calibri"/>
        <family val="2"/>
        <scheme val="minor"/>
      </rPr>
      <t>2</t>
    </r>
  </si>
  <si>
    <r>
      <t>w</t>
    </r>
    <r>
      <rPr>
        <vertAlign val="subscript"/>
        <sz val="11"/>
        <color rgb="FFE0FBFC"/>
        <rFont val="Calibri"/>
        <family val="2"/>
        <scheme val="minor"/>
      </rPr>
      <t>c</t>
    </r>
  </si>
  <si>
    <r>
      <t>f'</t>
    </r>
    <r>
      <rPr>
        <vertAlign val="subscript"/>
        <sz val="11"/>
        <color rgb="FFE0FBFC"/>
        <rFont val="Calibri"/>
        <family val="2"/>
        <scheme val="minor"/>
      </rPr>
      <t>c</t>
    </r>
  </si>
  <si>
    <r>
      <t>ε</t>
    </r>
    <r>
      <rPr>
        <vertAlign val="subscript"/>
        <sz val="11"/>
        <color rgb="FFE0FBFC"/>
        <rFont val="Calibri"/>
        <family val="2"/>
      </rPr>
      <t>cu</t>
    </r>
  </si>
  <si>
    <r>
      <t>E</t>
    </r>
    <r>
      <rPr>
        <vertAlign val="subscript"/>
        <sz val="11"/>
        <color rgb="FFE0FBFC"/>
        <rFont val="Calibri"/>
        <family val="2"/>
        <scheme val="minor"/>
      </rPr>
      <t>c</t>
    </r>
  </si>
  <si>
    <r>
      <t>A</t>
    </r>
    <r>
      <rPr>
        <vertAlign val="subscript"/>
        <sz val="11"/>
        <color rgb="FFE0FBFC"/>
        <rFont val="Calibri"/>
        <family val="2"/>
      </rPr>
      <t>c</t>
    </r>
  </si>
  <si>
    <r>
      <t>f</t>
    </r>
    <r>
      <rPr>
        <vertAlign val="subscript"/>
        <sz val="11"/>
        <color rgb="FFE0FBFC"/>
        <rFont val="Calibri"/>
        <family val="2"/>
        <scheme val="minor"/>
      </rPr>
      <t>y</t>
    </r>
  </si>
  <si>
    <r>
      <t>E</t>
    </r>
    <r>
      <rPr>
        <vertAlign val="subscript"/>
        <sz val="11"/>
        <color rgb="FFE0FBFC"/>
        <rFont val="Calibri"/>
        <family val="2"/>
        <scheme val="minor"/>
      </rPr>
      <t>s</t>
    </r>
  </si>
  <si>
    <r>
      <t>d</t>
    </r>
    <r>
      <rPr>
        <vertAlign val="subscript"/>
        <sz val="11"/>
        <color rgb="FFE0FBFC"/>
        <rFont val="Calibri"/>
        <family val="2"/>
        <scheme val="minor"/>
      </rPr>
      <t>b</t>
    </r>
  </si>
  <si>
    <r>
      <t>A</t>
    </r>
    <r>
      <rPr>
        <vertAlign val="subscript"/>
        <sz val="11"/>
        <color rgb="FFE0FBFC"/>
        <rFont val="Calibri"/>
        <family val="2"/>
        <scheme val="minor"/>
      </rPr>
      <t>b</t>
    </r>
  </si>
  <si>
    <r>
      <t>Total A</t>
    </r>
    <r>
      <rPr>
        <vertAlign val="subscript"/>
        <sz val="11"/>
        <color rgb="FFE0FBFC"/>
        <rFont val="Calibri"/>
        <family val="2"/>
        <scheme val="minor"/>
      </rPr>
      <t>s</t>
    </r>
  </si>
  <si>
    <r>
      <t>ε</t>
    </r>
    <r>
      <rPr>
        <vertAlign val="subscript"/>
        <sz val="11"/>
        <color rgb="FFE0FBFC"/>
        <rFont val="Calibri"/>
        <family val="2"/>
        <scheme val="minor"/>
      </rPr>
      <t>smax</t>
    </r>
    <r>
      <rPr>
        <sz val="11"/>
        <color rgb="FFE0FBFC"/>
        <rFont val="Calibri"/>
        <family val="2"/>
        <scheme val="minor"/>
      </rPr>
      <t>=0ε</t>
    </r>
    <r>
      <rPr>
        <vertAlign val="subscript"/>
        <sz val="11"/>
        <color rgb="FFE0FBFC"/>
        <rFont val="Calibri"/>
        <family val="2"/>
        <scheme val="minor"/>
      </rPr>
      <t>sy</t>
    </r>
  </si>
  <si>
    <r>
      <t>ε</t>
    </r>
    <r>
      <rPr>
        <vertAlign val="subscript"/>
        <sz val="11"/>
        <color rgb="FFE0FBFC"/>
        <rFont val="Calibri"/>
        <family val="2"/>
        <scheme val="minor"/>
      </rPr>
      <t>smax</t>
    </r>
    <r>
      <rPr>
        <sz val="11"/>
        <color rgb="FFE0FBFC"/>
        <rFont val="Calibri"/>
        <family val="2"/>
        <scheme val="minor"/>
      </rPr>
      <t>=0.25ε</t>
    </r>
    <r>
      <rPr>
        <vertAlign val="subscript"/>
        <sz val="11"/>
        <color rgb="FFE0FBFC"/>
        <rFont val="Calibri"/>
        <family val="2"/>
        <scheme val="minor"/>
      </rPr>
      <t>sy</t>
    </r>
  </si>
  <si>
    <r>
      <t>ε</t>
    </r>
    <r>
      <rPr>
        <vertAlign val="subscript"/>
        <sz val="11"/>
        <color rgb="FFE0FBFC"/>
        <rFont val="Calibri"/>
        <family val="2"/>
        <scheme val="minor"/>
      </rPr>
      <t>smax</t>
    </r>
    <r>
      <rPr>
        <sz val="11"/>
        <color rgb="FFE0FBFC"/>
        <rFont val="Calibri"/>
        <family val="2"/>
        <scheme val="minor"/>
      </rPr>
      <t>=0.5ε</t>
    </r>
    <r>
      <rPr>
        <vertAlign val="subscript"/>
        <sz val="11"/>
        <color rgb="FFE0FBFC"/>
        <rFont val="Calibri"/>
        <family val="2"/>
        <scheme val="minor"/>
      </rPr>
      <t>sy</t>
    </r>
  </si>
  <si>
    <r>
      <t>ε</t>
    </r>
    <r>
      <rPr>
        <vertAlign val="subscript"/>
        <sz val="11"/>
        <color rgb="FFE0FBFC"/>
        <rFont val="Calibri"/>
        <family val="2"/>
        <scheme val="minor"/>
      </rPr>
      <t>smax</t>
    </r>
    <r>
      <rPr>
        <sz val="11"/>
        <color rgb="FFE0FBFC"/>
        <rFont val="Calibri"/>
        <family val="2"/>
        <scheme val="minor"/>
      </rPr>
      <t>=0.75ε</t>
    </r>
    <r>
      <rPr>
        <vertAlign val="subscript"/>
        <sz val="11"/>
        <color rgb="FFE0FBFC"/>
        <rFont val="Calibri"/>
        <family val="2"/>
        <scheme val="minor"/>
      </rPr>
      <t>sy</t>
    </r>
  </si>
  <si>
    <r>
      <t>ε</t>
    </r>
    <r>
      <rPr>
        <vertAlign val="subscript"/>
        <sz val="11"/>
        <color rgb="FFE0FBFC"/>
        <rFont val="Calibri"/>
        <family val="2"/>
        <scheme val="minor"/>
      </rPr>
      <t>smax</t>
    </r>
    <r>
      <rPr>
        <sz val="11"/>
        <color rgb="FFE0FBFC"/>
        <rFont val="Calibri"/>
        <family val="2"/>
        <scheme val="minor"/>
      </rPr>
      <t>=2ε</t>
    </r>
    <r>
      <rPr>
        <vertAlign val="subscript"/>
        <sz val="11"/>
        <color rgb="FFE0FBFC"/>
        <rFont val="Calibri"/>
        <family val="2"/>
        <scheme val="minor"/>
      </rPr>
      <t>sy</t>
    </r>
  </si>
  <si>
    <r>
      <t>ε</t>
    </r>
    <r>
      <rPr>
        <vertAlign val="subscript"/>
        <sz val="11"/>
        <color rgb="FFE0FBFC"/>
        <rFont val="Calibri"/>
        <family val="2"/>
        <scheme val="minor"/>
      </rPr>
      <t>smax</t>
    </r>
    <r>
      <rPr>
        <sz val="11"/>
        <color rgb="FFE0FBFC"/>
        <rFont val="Calibri"/>
        <family val="2"/>
        <scheme val="minor"/>
      </rPr>
      <t>=3ε</t>
    </r>
    <r>
      <rPr>
        <vertAlign val="subscript"/>
        <sz val="11"/>
        <color rgb="FFE0FBFC"/>
        <rFont val="Calibri"/>
        <family val="2"/>
        <scheme val="minor"/>
      </rPr>
      <t>sy</t>
    </r>
  </si>
  <si>
    <r>
      <t>ε</t>
    </r>
    <r>
      <rPr>
        <vertAlign val="subscript"/>
        <sz val="11"/>
        <color rgb="FFE0FBFC"/>
        <rFont val="Calibri"/>
        <family val="2"/>
        <scheme val="minor"/>
      </rPr>
      <t>smax</t>
    </r>
    <r>
      <rPr>
        <sz val="11"/>
        <color rgb="FFE0FBFC"/>
        <rFont val="Calibri"/>
        <family val="2"/>
        <scheme val="minor"/>
      </rPr>
      <t>=4ε</t>
    </r>
    <r>
      <rPr>
        <vertAlign val="subscript"/>
        <sz val="11"/>
        <color rgb="FFE0FBFC"/>
        <rFont val="Calibri"/>
        <family val="2"/>
        <scheme val="minor"/>
      </rPr>
      <t>sy</t>
    </r>
  </si>
  <si>
    <r>
      <t>ε</t>
    </r>
    <r>
      <rPr>
        <vertAlign val="subscript"/>
        <sz val="11"/>
        <color rgb="FFE0FBFC"/>
        <rFont val="Calibri"/>
        <family val="2"/>
        <scheme val="minor"/>
      </rPr>
      <t>smax</t>
    </r>
    <r>
      <rPr>
        <sz val="11"/>
        <color rgb="FFE0FBFC"/>
        <rFont val="Calibri"/>
        <family val="2"/>
        <scheme val="minor"/>
      </rPr>
      <t>=6ε</t>
    </r>
    <r>
      <rPr>
        <vertAlign val="subscript"/>
        <sz val="11"/>
        <color rgb="FFE0FBFC"/>
        <rFont val="Calibri"/>
        <family val="2"/>
        <scheme val="minor"/>
      </rPr>
      <t>sy</t>
    </r>
  </si>
  <si>
    <r>
      <t>ε</t>
    </r>
    <r>
      <rPr>
        <vertAlign val="subscript"/>
        <sz val="11"/>
        <color rgb="FFE0FBFC"/>
        <rFont val="Calibri"/>
        <family val="2"/>
        <scheme val="minor"/>
      </rPr>
      <t>smax</t>
    </r>
    <r>
      <rPr>
        <sz val="11"/>
        <color rgb="FFE0FBFC"/>
        <rFont val="Calibri"/>
        <family val="2"/>
        <scheme val="minor"/>
      </rPr>
      <t>=8ε</t>
    </r>
    <r>
      <rPr>
        <vertAlign val="subscript"/>
        <sz val="11"/>
        <color rgb="FFE0FBFC"/>
        <rFont val="Calibri"/>
        <family val="2"/>
        <scheme val="minor"/>
      </rPr>
      <t>sy</t>
    </r>
  </si>
  <si>
    <r>
      <t>ε</t>
    </r>
    <r>
      <rPr>
        <vertAlign val="subscript"/>
        <sz val="11"/>
        <color rgb="FFE0FBFC"/>
        <rFont val="Calibri"/>
        <family val="2"/>
        <scheme val="minor"/>
      </rPr>
      <t>smax</t>
    </r>
    <r>
      <rPr>
        <sz val="11"/>
        <color rgb="FFE0FBFC"/>
        <rFont val="Calibri"/>
        <family val="2"/>
        <scheme val="minor"/>
      </rPr>
      <t>=10ε</t>
    </r>
    <r>
      <rPr>
        <vertAlign val="subscript"/>
        <sz val="11"/>
        <color rgb="FFE0FBFC"/>
        <rFont val="Calibri"/>
        <family val="2"/>
        <scheme val="minor"/>
      </rPr>
      <t>sy</t>
    </r>
  </si>
  <si>
    <t xml:space="preserve">  Approximate Pure Bending Capacity: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</si>
</sst>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#&quot;εsy&quot;"/>
    <numFmt numFmtId="167" formatCode="0.00&quot;εsy&quot;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E0FBFC"/>
      <name val="Calibri"/>
      <family val="2"/>
      <scheme val="minor"/>
    </font>
    <font>
      <i/>
      <sz val="11"/>
      <color rgb="FFE0FBFC"/>
      <name val="Calibri"/>
      <family val="2"/>
      <scheme val="minor"/>
    </font>
    <font>
      <b/>
      <sz val="12"/>
      <color rgb="FFE0FBFC"/>
      <name val="Calibri"/>
      <family val="2"/>
      <scheme val="minor"/>
    </font>
    <font>
      <vertAlign val="subscript"/>
      <sz val="11"/>
      <color rgb="FFE0FBFC"/>
      <name val="Calibri"/>
      <family val="2"/>
      <scheme val="minor"/>
    </font>
    <font>
      <i/>
      <vertAlign val="superscript"/>
      <sz val="11"/>
      <color rgb="FFE0FBFC"/>
      <name val="Calibri"/>
      <family val="2"/>
      <scheme val="minor"/>
    </font>
    <font>
      <sz val="11"/>
      <color rgb="FFE0FBFC"/>
      <name val="Calibri"/>
      <family val="2"/>
    </font>
    <font>
      <vertAlign val="subscript"/>
      <sz val="11"/>
      <color rgb="FFE0FBFC"/>
      <name val="Calibri"/>
      <family val="2"/>
    </font>
    <font>
      <b/>
      <sz val="11"/>
      <color rgb="FFE0FBFC"/>
      <name val="Calibri"/>
      <family val="2"/>
      <scheme val="minor"/>
    </font>
    <font>
      <b/>
      <sz val="11"/>
      <color rgb="FF293241"/>
      <name val="Calibri"/>
      <family val="2"/>
      <scheme val="minor"/>
    </font>
    <font>
      <b/>
      <sz val="11"/>
      <color rgb="FFE0FBFC"/>
      <name val="Arial"/>
      <family val="2"/>
    </font>
    <font>
      <b/>
      <sz val="12"/>
      <color rgb="FF29324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3D5A80"/>
        <bgColor indexed="64"/>
      </patternFill>
    </fill>
    <fill>
      <patternFill patternType="solid">
        <fgColor rgb="FFE0FBFC"/>
        <bgColor indexed="64"/>
      </patternFill>
    </fill>
    <fill>
      <patternFill patternType="solid">
        <fgColor rgb="FF293241"/>
        <bgColor indexed="64"/>
      </patternFill>
    </fill>
    <fill>
      <patternFill patternType="solid">
        <fgColor rgb="FF293241"/>
        <bgColor theme="1"/>
      </patternFill>
    </fill>
    <fill>
      <patternFill patternType="solid">
        <fgColor rgb="FF3D5A80"/>
        <bgColor theme="1" tint="0.249977111117893"/>
      </patternFill>
    </fill>
    <fill>
      <patternFill patternType="solid">
        <fgColor rgb="FF293241"/>
        <bgColor theme="1" tint="0.44999542222357858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E0FBFC"/>
      </left>
      <right style="thin">
        <color rgb="FFE0FBFC"/>
      </right>
      <top style="thin">
        <color rgb="FFE0FBFC"/>
      </top>
      <bottom style="thin">
        <color rgb="FFE0FBFC"/>
      </bottom>
      <diagonal/>
    </border>
    <border>
      <left style="thin">
        <color rgb="FFEE6C4D"/>
      </left>
      <right style="thin">
        <color rgb="FFEE6C4D"/>
      </right>
      <top style="thin">
        <color rgb="FFEE6C4D"/>
      </top>
      <bottom style="thin">
        <color rgb="FFEE6C4D"/>
      </bottom>
      <diagonal/>
    </border>
    <border>
      <left style="thin">
        <color rgb="FFE0FBFC"/>
      </left>
      <right style="thin">
        <color rgb="FFE0FBFC"/>
      </right>
      <top style="thin">
        <color rgb="FFE0FBFC"/>
      </top>
      <bottom/>
      <diagonal/>
    </border>
    <border>
      <left style="thin">
        <color rgb="FFE0FBFC"/>
      </left>
      <right/>
      <top style="thin">
        <color rgb="FFE0FBFC"/>
      </top>
      <bottom style="thin">
        <color rgb="FFE0FBFC"/>
      </bottom>
      <diagonal/>
    </border>
    <border>
      <left/>
      <right/>
      <top style="thin">
        <color rgb="FFE0FBFC"/>
      </top>
      <bottom style="thin">
        <color rgb="FFE0FBFC"/>
      </bottom>
      <diagonal/>
    </border>
    <border>
      <left/>
      <right style="thin">
        <color rgb="FFE0FBFC"/>
      </right>
      <top style="thin">
        <color rgb="FFE0FBFC"/>
      </top>
      <bottom style="thin">
        <color rgb="FFE0FBFC"/>
      </bottom>
      <diagonal/>
    </border>
  </borders>
  <cellStyleXfs count="3">
    <xf numFmtId="0" fontId="0" fillId="0" borderId="0"/>
    <xf numFmtId="0" fontId="5" fillId="2" borderId="1" applyNumberFormat="0" applyAlignment="0" applyProtection="0"/>
    <xf numFmtId="0" fontId="6" fillId="3" borderId="1" applyNumberFormat="0" applyAlignment="0" applyProtection="0"/>
  </cellStyleXfs>
  <cellXfs count="44">
    <xf numFmtId="0" fontId="0" fillId="0" borderId="0" xfId="0"/>
    <xf numFmtId="0" fontId="2" fillId="0" borderId="0" xfId="0" applyFont="1" applyAlignment="1">
      <alignment horizontal="center"/>
    </xf>
    <xf numFmtId="0" fontId="4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2" fillId="0" borderId="0" xfId="0" applyFont="1"/>
    <xf numFmtId="164" fontId="0" fillId="0" borderId="0" xfId="0" applyNumberFormat="1"/>
    <xf numFmtId="0" fontId="1" fillId="0" borderId="0" xfId="0" applyFont="1"/>
    <xf numFmtId="0" fontId="0" fillId="0" borderId="0" xfId="0" applyFill="1"/>
    <xf numFmtId="1" fontId="0" fillId="0" borderId="0" xfId="0" applyNumberFormat="1" applyFill="1"/>
    <xf numFmtId="166" fontId="0" fillId="0" borderId="0" xfId="0" applyNumberFormat="1"/>
    <xf numFmtId="167" fontId="0" fillId="0" borderId="0" xfId="0" applyNumberFormat="1"/>
    <xf numFmtId="0" fontId="0" fillId="0" borderId="0" xfId="0" applyAlignment="1">
      <alignment horizontal="right"/>
    </xf>
    <xf numFmtId="0" fontId="7" fillId="6" borderId="0" xfId="0" applyFont="1" applyFill="1" applyBorder="1" applyAlignment="1">
      <alignment horizontal="center"/>
    </xf>
    <xf numFmtId="0" fontId="7" fillId="6" borderId="0" xfId="0" applyFont="1" applyFill="1" applyBorder="1" applyAlignment="1">
      <alignment horizontal="center" vertical="center"/>
    </xf>
    <xf numFmtId="0" fontId="8" fillId="6" borderId="0" xfId="0" applyFont="1" applyFill="1" applyBorder="1"/>
    <xf numFmtId="0" fontId="7" fillId="6" borderId="0" xfId="0" applyFont="1" applyFill="1" applyBorder="1"/>
    <xf numFmtId="0" fontId="9" fillId="6" borderId="0" xfId="0" applyFont="1" applyFill="1" applyBorder="1" applyAlignment="1"/>
    <xf numFmtId="0" fontId="9" fillId="6" borderId="0" xfId="0" applyFont="1" applyFill="1" applyBorder="1" applyAlignment="1">
      <alignment horizontal="center"/>
    </xf>
    <xf numFmtId="0" fontId="8" fillId="6" borderId="0" xfId="0" applyFont="1" applyFill="1" applyBorder="1" applyAlignment="1">
      <alignment vertical="center"/>
    </xf>
    <xf numFmtId="0" fontId="12" fillId="6" borderId="0" xfId="0" applyFont="1" applyFill="1" applyBorder="1" applyAlignment="1">
      <alignment horizontal="center"/>
    </xf>
    <xf numFmtId="0" fontId="7" fillId="4" borderId="2" xfId="1" applyFont="1" applyFill="1" applyBorder="1" applyAlignment="1" applyProtection="1">
      <alignment horizontal="center" vertical="center"/>
      <protection locked="0"/>
    </xf>
    <xf numFmtId="0" fontId="7" fillId="4" borderId="4" xfId="1" applyFont="1" applyFill="1" applyBorder="1" applyAlignment="1" applyProtection="1">
      <alignment horizontal="center" vertical="center"/>
      <protection locked="0"/>
    </xf>
    <xf numFmtId="1" fontId="15" fillId="5" borderId="3" xfId="2" applyNumberFormat="1" applyFont="1" applyFill="1" applyBorder="1" applyAlignment="1">
      <alignment horizontal="center" vertical="center"/>
    </xf>
    <xf numFmtId="0" fontId="15" fillId="5" borderId="3" xfId="2" applyFont="1" applyFill="1" applyBorder="1" applyAlignment="1">
      <alignment horizontal="center" vertical="center"/>
    </xf>
    <xf numFmtId="164" fontId="15" fillId="5" borderId="3" xfId="2" applyNumberFormat="1" applyFont="1" applyFill="1" applyBorder="1" applyAlignment="1">
      <alignment horizontal="center" vertical="center"/>
    </xf>
    <xf numFmtId="2" fontId="15" fillId="5" borderId="3" xfId="2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/>
    </xf>
    <xf numFmtId="0" fontId="14" fillId="7" borderId="6" xfId="0" applyFont="1" applyFill="1" applyBorder="1" applyAlignment="1">
      <alignment horizontal="center"/>
    </xf>
    <xf numFmtId="0" fontId="14" fillId="7" borderId="7" xfId="0" applyFont="1" applyFill="1" applyBorder="1" applyAlignment="1">
      <alignment horizontal="center"/>
    </xf>
    <xf numFmtId="0" fontId="7" fillId="8" borderId="5" xfId="0" applyFont="1" applyFill="1" applyBorder="1" applyAlignment="1">
      <alignment horizontal="center"/>
    </xf>
    <xf numFmtId="0" fontId="7" fillId="8" borderId="6" xfId="0" applyFont="1" applyFill="1" applyBorder="1" applyAlignment="1">
      <alignment horizontal="center"/>
    </xf>
    <xf numFmtId="2" fontId="7" fillId="8" borderId="6" xfId="0" applyNumberFormat="1" applyFont="1" applyFill="1" applyBorder="1" applyAlignment="1">
      <alignment horizontal="center"/>
    </xf>
    <xf numFmtId="11" fontId="7" fillId="8" borderId="6" xfId="0" applyNumberFormat="1" applyFont="1" applyFill="1" applyBorder="1" applyAlignment="1">
      <alignment horizontal="center"/>
    </xf>
    <xf numFmtId="165" fontId="7" fillId="8" borderId="7" xfId="0" applyNumberFormat="1" applyFont="1" applyFill="1" applyBorder="1" applyAlignment="1">
      <alignment horizontal="center"/>
    </xf>
    <xf numFmtId="0" fontId="7" fillId="9" borderId="5" xfId="0" applyFont="1" applyFill="1" applyBorder="1" applyAlignment="1">
      <alignment horizontal="center"/>
    </xf>
    <xf numFmtId="0" fontId="7" fillId="9" borderId="6" xfId="0" applyFont="1" applyFill="1" applyBorder="1" applyAlignment="1">
      <alignment horizontal="center"/>
    </xf>
    <xf numFmtId="2" fontId="7" fillId="9" borderId="6" xfId="0" applyNumberFormat="1" applyFont="1" applyFill="1" applyBorder="1" applyAlignment="1">
      <alignment horizontal="center"/>
    </xf>
    <xf numFmtId="11" fontId="7" fillId="9" borderId="6" xfId="0" applyNumberFormat="1" applyFont="1" applyFill="1" applyBorder="1" applyAlignment="1">
      <alignment horizontal="center"/>
    </xf>
    <xf numFmtId="165" fontId="7" fillId="9" borderId="7" xfId="0" applyNumberFormat="1" applyFont="1" applyFill="1" applyBorder="1" applyAlignment="1">
      <alignment horizontal="center"/>
    </xf>
    <xf numFmtId="3" fontId="17" fillId="5" borderId="3" xfId="2" applyNumberFormat="1" applyFont="1" applyFill="1" applyBorder="1" applyAlignment="1">
      <alignment horizontal="center" vertical="center"/>
    </xf>
    <xf numFmtId="0" fontId="16" fillId="6" borderId="0" xfId="0" applyFont="1" applyFill="1" applyBorder="1" applyAlignment="1">
      <alignment horizontal="center"/>
    </xf>
    <xf numFmtId="0" fontId="16" fillId="6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14" fillId="6" borderId="0" xfId="0" applyFont="1" applyFill="1" applyBorder="1" applyAlignment="1">
      <alignment horizontal="right"/>
    </xf>
  </cellXfs>
  <cellStyles count="3">
    <cellStyle name="Calculation" xfId="2" builtinId="22"/>
    <cellStyle name="Input" xfId="1" builtinId="20"/>
    <cellStyle name="Normal" xfId="0" builtinId="0"/>
  </cellStyles>
  <dxfs count="0"/>
  <tableStyles count="0" defaultTableStyle="TableStyleMedium2" defaultPivotStyle="PivotStyleLight16"/>
  <colors>
    <mruColors>
      <color rgb="FFE0FBFC"/>
      <color rgb="FF3D5A80"/>
      <color rgb="FF293241"/>
      <color rgb="FF98C1D9"/>
      <color rgb="FFEE6C4D"/>
      <color rgb="FF21C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1"/>
          <c:tx>
            <c:v>rebar</c:v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EE6C4D"/>
              </a:solidFill>
              <a:ln>
                <a:noFill/>
              </a:ln>
            </c:spPr>
          </c:marker>
          <c:xVal>
            <c:numRef>
              <c:f>Coordinates!$F$3:$F$103</c:f>
              <c:numCache>
                <c:formatCode>General</c:formatCode>
                <c:ptCount val="101"/>
                <c:pt idx="0">
                  <c:v>4.4808047183373905</c:v>
                </c:pt>
                <c:pt idx="1">
                  <c:v>12.241786149292103</c:v>
                </c:pt>
                <c:pt idx="2">
                  <c:v>16.722590867629492</c:v>
                </c:pt>
                <c:pt idx="3">
                  <c:v>16.722590867629496</c:v>
                </c:pt>
                <c:pt idx="4">
                  <c:v>12.241786149292105</c:v>
                </c:pt>
                <c:pt idx="5">
                  <c:v>4.4808047183373949</c:v>
                </c:pt>
                <c:pt idx="6">
                  <c:v>-4.4808047183373834</c:v>
                </c:pt>
                <c:pt idx="7">
                  <c:v>-12.241786149292096</c:v>
                </c:pt>
                <c:pt idx="8">
                  <c:v>-16.722590867629492</c:v>
                </c:pt>
                <c:pt idx="9">
                  <c:v>-16.722590867629496</c:v>
                </c:pt>
                <c:pt idx="10">
                  <c:v>-12.241786149292107</c:v>
                </c:pt>
                <c:pt idx="11">
                  <c:v>-4.4808047183374047</c:v>
                </c:pt>
              </c:numCache>
            </c:numRef>
          </c:xVal>
          <c:yVal>
            <c:numRef>
              <c:f>Coordinates!$G$3:$G$103</c:f>
              <c:numCache>
                <c:formatCode>General</c:formatCode>
                <c:ptCount val="101"/>
                <c:pt idx="0">
                  <c:v>-16.722590867629496</c:v>
                </c:pt>
                <c:pt idx="1">
                  <c:v>-12.241786149292105</c:v>
                </c:pt>
                <c:pt idx="2">
                  <c:v>-4.480804718337394</c:v>
                </c:pt>
                <c:pt idx="3">
                  <c:v>4.4808047183373887</c:v>
                </c:pt>
                <c:pt idx="4">
                  <c:v>12.241786149292103</c:v>
                </c:pt>
                <c:pt idx="5">
                  <c:v>16.722590867629492</c:v>
                </c:pt>
                <c:pt idx="6">
                  <c:v>16.722590867629496</c:v>
                </c:pt>
                <c:pt idx="7">
                  <c:v>12.241786149292111</c:v>
                </c:pt>
                <c:pt idx="8">
                  <c:v>4.4808047183374038</c:v>
                </c:pt>
                <c:pt idx="9">
                  <c:v>-4.4808047183373825</c:v>
                </c:pt>
                <c:pt idx="10">
                  <c:v>-12.241786149292102</c:v>
                </c:pt>
                <c:pt idx="11">
                  <c:v>-16.722590867629492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3F-4AD1-920A-FE14CF3A66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849920"/>
        <c:axId val="96851456"/>
      </c:scatterChart>
      <c:scatterChart>
        <c:scatterStyle val="smoothMarker"/>
        <c:varyColors val="0"/>
        <c:ser>
          <c:idx val="0"/>
          <c:order val="0"/>
          <c:tx>
            <c:v>circle</c:v>
          </c:tx>
          <c:spPr>
            <a:ln w="25400">
              <a:solidFill>
                <a:srgbClr val="E0FBFC"/>
              </a:solidFill>
            </a:ln>
          </c:spPr>
          <c:marker>
            <c:symbol val="none"/>
          </c:marker>
          <c:xVal>
            <c:numRef>
              <c:f>Coordinates!$B$3:$B$39</c:f>
              <c:numCache>
                <c:formatCode>General</c:formatCode>
                <c:ptCount val="37"/>
                <c:pt idx="0">
                  <c:v>21</c:v>
                </c:pt>
                <c:pt idx="1">
                  <c:v>20.680962813256368</c:v>
                </c:pt>
                <c:pt idx="2">
                  <c:v>19.733545036504076</c:v>
                </c:pt>
                <c:pt idx="3">
                  <c:v>18.186533479473212</c:v>
                </c:pt>
                <c:pt idx="4">
                  <c:v>16.086933305498537</c:v>
                </c:pt>
                <c:pt idx="5">
                  <c:v>13.498539803417327</c:v>
                </c:pt>
                <c:pt idx="6">
                  <c:v>10.500000000000002</c:v>
                </c:pt>
                <c:pt idx="7">
                  <c:v>7.1824230098390451</c:v>
                </c:pt>
                <c:pt idx="8">
                  <c:v>3.6466117310055388</c:v>
                </c:pt>
                <c:pt idx="9">
                  <c:v>1.286405877654051E-15</c:v>
                </c:pt>
                <c:pt idx="10">
                  <c:v>-3.6466117310055362</c:v>
                </c:pt>
                <c:pt idx="11">
                  <c:v>-7.1824230098390434</c:v>
                </c:pt>
                <c:pt idx="12">
                  <c:v>-10.499999999999995</c:v>
                </c:pt>
                <c:pt idx="13">
                  <c:v>-13.498539803417327</c:v>
                </c:pt>
                <c:pt idx="14">
                  <c:v>-16.086933305498537</c:v>
                </c:pt>
                <c:pt idx="15">
                  <c:v>-18.186533479473212</c:v>
                </c:pt>
                <c:pt idx="16">
                  <c:v>-19.733545036504076</c:v>
                </c:pt>
                <c:pt idx="17">
                  <c:v>-20.680962813256368</c:v>
                </c:pt>
                <c:pt idx="18">
                  <c:v>-21</c:v>
                </c:pt>
                <c:pt idx="19">
                  <c:v>-20.680962813256368</c:v>
                </c:pt>
                <c:pt idx="20">
                  <c:v>-19.733545036504076</c:v>
                </c:pt>
                <c:pt idx="21">
                  <c:v>-18.186533479473212</c:v>
                </c:pt>
                <c:pt idx="22">
                  <c:v>-16.086933305498537</c:v>
                </c:pt>
                <c:pt idx="23">
                  <c:v>-13.498539803417328</c:v>
                </c:pt>
                <c:pt idx="24">
                  <c:v>-10.500000000000009</c:v>
                </c:pt>
                <c:pt idx="25">
                  <c:v>-7.1824230098390567</c:v>
                </c:pt>
                <c:pt idx="26">
                  <c:v>-3.646611731005537</c:v>
                </c:pt>
                <c:pt idx="27">
                  <c:v>-3.859217632962153E-15</c:v>
                </c:pt>
                <c:pt idx="28">
                  <c:v>3.6466117310055295</c:v>
                </c:pt>
                <c:pt idx="29">
                  <c:v>7.1824230098390309</c:v>
                </c:pt>
                <c:pt idx="30">
                  <c:v>10.500000000000002</c:v>
                </c:pt>
                <c:pt idx="31">
                  <c:v>13.498539803417325</c:v>
                </c:pt>
                <c:pt idx="32">
                  <c:v>16.086933305498533</c:v>
                </c:pt>
                <c:pt idx="33">
                  <c:v>18.186533479473205</c:v>
                </c:pt>
                <c:pt idx="34">
                  <c:v>19.733545036504076</c:v>
                </c:pt>
                <c:pt idx="35">
                  <c:v>20.680962813256365</c:v>
                </c:pt>
                <c:pt idx="36">
                  <c:v>21</c:v>
                </c:pt>
              </c:numCache>
            </c:numRef>
          </c:xVal>
          <c:yVal>
            <c:numRef>
              <c:f>Coordinates!$C$3:$C$39</c:f>
              <c:numCache>
                <c:formatCode>General</c:formatCode>
                <c:ptCount val="37"/>
                <c:pt idx="0">
                  <c:v>0</c:v>
                </c:pt>
                <c:pt idx="1">
                  <c:v>3.646611731005537</c:v>
                </c:pt>
                <c:pt idx="2">
                  <c:v>7.1824230098390434</c:v>
                </c:pt>
                <c:pt idx="3">
                  <c:v>10.499999999999998</c:v>
                </c:pt>
                <c:pt idx="4">
                  <c:v>13.498539803417325</c:v>
                </c:pt>
                <c:pt idx="5">
                  <c:v>16.086933305498537</c:v>
                </c:pt>
                <c:pt idx="6">
                  <c:v>18.186533479473212</c:v>
                </c:pt>
                <c:pt idx="7">
                  <c:v>19.733545036504076</c:v>
                </c:pt>
                <c:pt idx="8">
                  <c:v>20.680962813256368</c:v>
                </c:pt>
                <c:pt idx="9">
                  <c:v>21</c:v>
                </c:pt>
                <c:pt idx="10">
                  <c:v>20.680962813256368</c:v>
                </c:pt>
                <c:pt idx="11">
                  <c:v>19.733545036504076</c:v>
                </c:pt>
                <c:pt idx="12">
                  <c:v>18.186533479473212</c:v>
                </c:pt>
                <c:pt idx="13">
                  <c:v>16.086933305498537</c:v>
                </c:pt>
                <c:pt idx="14">
                  <c:v>13.498539803417328</c:v>
                </c:pt>
                <c:pt idx="15">
                  <c:v>10.499999999999998</c:v>
                </c:pt>
                <c:pt idx="16">
                  <c:v>7.1824230098390469</c:v>
                </c:pt>
                <c:pt idx="17">
                  <c:v>3.6466117310055357</c:v>
                </c:pt>
                <c:pt idx="18">
                  <c:v>2.572811755308102E-15</c:v>
                </c:pt>
                <c:pt idx="19">
                  <c:v>-3.6466117310055397</c:v>
                </c:pt>
                <c:pt idx="20">
                  <c:v>-7.1824230098390416</c:v>
                </c:pt>
                <c:pt idx="21">
                  <c:v>-10.500000000000002</c:v>
                </c:pt>
                <c:pt idx="22">
                  <c:v>-13.498539803417325</c:v>
                </c:pt>
                <c:pt idx="23">
                  <c:v>-16.086933305498537</c:v>
                </c:pt>
                <c:pt idx="24">
                  <c:v>-18.186533479473205</c:v>
                </c:pt>
                <c:pt idx="25">
                  <c:v>-19.733545036504072</c:v>
                </c:pt>
                <c:pt idx="26">
                  <c:v>-20.680962813256368</c:v>
                </c:pt>
                <c:pt idx="27">
                  <c:v>-21</c:v>
                </c:pt>
                <c:pt idx="28">
                  <c:v>-20.680962813256372</c:v>
                </c:pt>
                <c:pt idx="29">
                  <c:v>-19.733545036504079</c:v>
                </c:pt>
                <c:pt idx="30">
                  <c:v>-18.186533479473212</c:v>
                </c:pt>
                <c:pt idx="31">
                  <c:v>-16.08693330549854</c:v>
                </c:pt>
                <c:pt idx="32">
                  <c:v>-13.498539803417332</c:v>
                </c:pt>
                <c:pt idx="33">
                  <c:v>-10.500000000000009</c:v>
                </c:pt>
                <c:pt idx="34">
                  <c:v>-7.1824230098390407</c:v>
                </c:pt>
                <c:pt idx="35">
                  <c:v>-3.6466117310055566</c:v>
                </c:pt>
                <c:pt idx="36">
                  <c:v>-5.145623510616204E-15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3F-4AD1-920A-FE14CF3A66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849920"/>
        <c:axId val="96851456"/>
      </c:scatterChart>
      <c:valAx>
        <c:axId val="9684992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6851456"/>
        <c:crosses val="autoZero"/>
        <c:crossBetween val="midCat"/>
        <c:majorUnit val="1"/>
      </c:valAx>
      <c:valAx>
        <c:axId val="968514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6849920"/>
        <c:crosses val="autoZero"/>
        <c:crossBetween val="midCat"/>
        <c:majorUnit val="1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E0FBFC"/>
                </a:solidFill>
              </a:defRPr>
            </a:pPr>
            <a:r>
              <a:rPr lang="en-US">
                <a:solidFill>
                  <a:srgbClr val="E0FBFC"/>
                </a:solidFill>
              </a:rPr>
              <a:t>P-M</a:t>
            </a:r>
            <a:r>
              <a:rPr lang="en-US" baseline="0">
                <a:solidFill>
                  <a:srgbClr val="E0FBFC"/>
                </a:solidFill>
              </a:rPr>
              <a:t> Diagram</a:t>
            </a:r>
            <a:endParaRPr lang="en-US">
              <a:solidFill>
                <a:srgbClr val="E0FBFC"/>
              </a:solidFill>
            </a:endParaRP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>
              <a:solidFill>
                <a:srgbClr val="EE6C4D"/>
              </a:solidFill>
            </a:ln>
          </c:spPr>
          <c:marker>
            <c:symbol val="circle"/>
            <c:size val="9"/>
            <c:spPr>
              <a:noFill/>
              <a:ln w="15875">
                <a:solidFill>
                  <a:srgbClr val="98C1D9"/>
                </a:solidFill>
              </a:ln>
            </c:spPr>
          </c:marker>
          <c:xVal>
            <c:numRef>
              <c:f>Results!$D$2:$D$14</c:f>
              <c:numCache>
                <c:formatCode>0.00</c:formatCode>
                <c:ptCount val="13"/>
                <c:pt idx="0">
                  <c:v>1.8189894035458565E-12</c:v>
                </c:pt>
                <c:pt idx="1">
                  <c:v>14375.628696938007</c:v>
                </c:pt>
                <c:pt idx="2">
                  <c:v>19882.271716446528</c:v>
                </c:pt>
                <c:pt idx="3">
                  <c:v>23039.385910821242</c:v>
                </c:pt>
                <c:pt idx="4">
                  <c:v>24771.625494830816</c:v>
                </c:pt>
                <c:pt idx="5">
                  <c:v>25809.068598648792</c:v>
                </c:pt>
                <c:pt idx="6">
                  <c:v>23718.44612516843</c:v>
                </c:pt>
                <c:pt idx="7">
                  <c:v>20179.120025804055</c:v>
                </c:pt>
                <c:pt idx="8">
                  <c:v>16953.705101934462</c:v>
                </c:pt>
                <c:pt idx="9">
                  <c:v>12554.74014396965</c:v>
                </c:pt>
                <c:pt idx="10">
                  <c:v>9303.3573895254176</c:v>
                </c:pt>
                <c:pt idx="11">
                  <c:v>6986.1757989215102</c:v>
                </c:pt>
                <c:pt idx="12">
                  <c:v>-1.8189894035458565E-12</c:v>
                </c:pt>
              </c:numCache>
            </c:numRef>
          </c:xVal>
          <c:yVal>
            <c:numRef>
              <c:f>Results!$C$2:$C$14</c:f>
              <c:numCache>
                <c:formatCode>0.00</c:formatCode>
                <c:ptCount val="13"/>
                <c:pt idx="0">
                  <c:v>4609.3417097100337</c:v>
                </c:pt>
                <c:pt idx="1">
                  <c:v>3598.021842966969</c:v>
                </c:pt>
                <c:pt idx="2">
                  <c:v>3000.0077270929296</c:v>
                </c:pt>
                <c:pt idx="3">
                  <c:v>2491.9984853722153</c:v>
                </c:pt>
                <c:pt idx="4">
                  <c:v>2050.6128109620422</c:v>
                </c:pt>
                <c:pt idx="5">
                  <c:v>1667.4733550932897</c:v>
                </c:pt>
                <c:pt idx="6">
                  <c:v>769.5974894796575</c:v>
                </c:pt>
                <c:pt idx="7">
                  <c:v>310.01364847426828</c:v>
                </c:pt>
                <c:pt idx="8">
                  <c:v>-9.7288004580742609</c:v>
                </c:pt>
                <c:pt idx="9">
                  <c:v>-346.27589677325011</c:v>
                </c:pt>
                <c:pt idx="10">
                  <c:v>-571.8711128042064</c:v>
                </c:pt>
                <c:pt idx="11">
                  <c:v>-725.93150429678076</c:v>
                </c:pt>
                <c:pt idx="12">
                  <c:v>-1124.244063828336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87-441E-8EE0-850C57375F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391424"/>
        <c:axId val="106393600"/>
      </c:scatterChart>
      <c:valAx>
        <c:axId val="106391424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3D5A8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>
                    <a:solidFill>
                      <a:srgbClr val="E0FBFC"/>
                    </a:solidFill>
                  </a:defRPr>
                </a:pPr>
                <a:r>
                  <a:rPr lang="en-US">
                    <a:solidFill>
                      <a:srgbClr val="E0FBFC"/>
                    </a:solidFill>
                  </a:rPr>
                  <a:t>Moment (kip-in)</a:t>
                </a:r>
              </a:p>
            </c:rich>
          </c:tx>
          <c:layout/>
          <c:overlay val="0"/>
          <c:spPr>
            <a:noFill/>
          </c:spPr>
        </c:title>
        <c:numFmt formatCode="0" sourceLinked="0"/>
        <c:majorTickMark val="none"/>
        <c:minorTickMark val="none"/>
        <c:tickLblPos val="nextTo"/>
        <c:spPr>
          <a:noFill/>
        </c:spPr>
        <c:txPr>
          <a:bodyPr/>
          <a:lstStyle/>
          <a:p>
            <a:pPr>
              <a:defRPr>
                <a:solidFill>
                  <a:srgbClr val="E0FBFC"/>
                </a:solidFill>
              </a:defRPr>
            </a:pPr>
            <a:endParaRPr lang="en-US"/>
          </a:p>
        </c:txPr>
        <c:crossAx val="106393600"/>
        <c:crossesAt val="0"/>
        <c:crossBetween val="midCat"/>
      </c:valAx>
      <c:valAx>
        <c:axId val="106393600"/>
        <c:scaling>
          <c:orientation val="minMax"/>
        </c:scaling>
        <c:delete val="0"/>
        <c:axPos val="l"/>
        <c:majorGridlines>
          <c:spPr>
            <a:ln>
              <a:solidFill>
                <a:srgbClr val="3D5A8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>
                    <a:solidFill>
                      <a:srgbClr val="E0FBFC"/>
                    </a:solidFill>
                  </a:defRPr>
                </a:pPr>
                <a:r>
                  <a:rPr lang="en-US">
                    <a:solidFill>
                      <a:srgbClr val="E0FBFC"/>
                    </a:solidFill>
                  </a:rPr>
                  <a:t>Compression (kip)</a:t>
                </a:r>
              </a:p>
            </c:rich>
          </c:tx>
          <c:layout/>
          <c:overlay val="0"/>
        </c:title>
        <c:numFmt formatCode="0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rgbClr val="E0FBFC"/>
                </a:solidFill>
              </a:defRPr>
            </a:pPr>
            <a:endParaRPr lang="en-US"/>
          </a:p>
        </c:txPr>
        <c:crossAx val="106391424"/>
        <c:crosses val="autoZero"/>
        <c:crossBetween val="midCat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82550</xdr:colOff>
      <xdr:row>0</xdr:row>
      <xdr:rowOff>0</xdr:rowOff>
    </xdr:from>
    <xdr:to>
      <xdr:col>9</xdr:col>
      <xdr:colOff>452120</xdr:colOff>
      <xdr:row>21</xdr:row>
      <xdr:rowOff>44450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447386</xdr:colOff>
      <xdr:row>0</xdr:row>
      <xdr:rowOff>107950</xdr:rowOff>
    </xdr:from>
    <xdr:to>
      <xdr:col>11</xdr:col>
      <xdr:colOff>473364</xdr:colOff>
      <xdr:row>3</xdr:row>
      <xdr:rowOff>99291</xdr:rowOff>
    </xdr:to>
    <xdr:sp macro="[0]!p_m_data.p_m_data" textlink="">
      <xdr:nvSpPr>
        <xdr:cNvPr id="3" name="Rounded Rectangle 2"/>
        <xdr:cNvSpPr/>
      </xdr:nvSpPr>
      <xdr:spPr>
        <a:xfrm>
          <a:off x="4886036" y="222250"/>
          <a:ext cx="1245178" cy="569191"/>
        </a:xfrm>
        <a:prstGeom prst="roundRect">
          <a:avLst/>
        </a:prstGeom>
        <a:solidFill>
          <a:srgbClr val="EE6C4D"/>
        </a:solidFill>
        <a:ln>
          <a:solidFill>
            <a:srgbClr val="98C1D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rgbClr val="E0FBFC"/>
              </a:solidFill>
            </a:rPr>
            <a:t>Calculate P-M Data</a:t>
          </a:r>
        </a:p>
      </xdr:txBody>
    </xdr:sp>
    <xdr:clientData/>
  </xdr:twoCellAnchor>
  <xdr:twoCellAnchor>
    <xdr:from>
      <xdr:col>4</xdr:col>
      <xdr:colOff>429260</xdr:colOff>
      <xdr:row>0</xdr:row>
      <xdr:rowOff>0</xdr:rowOff>
    </xdr:from>
    <xdr:to>
      <xdr:col>8</xdr:col>
      <xdr:colOff>276860</xdr:colOff>
      <xdr:row>1</xdr:row>
      <xdr:rowOff>0</xdr:rowOff>
    </xdr:to>
    <xdr:sp macro="" textlink="">
      <xdr:nvSpPr>
        <xdr:cNvPr id="4" name="TextBox 3"/>
        <xdr:cNvSpPr txBox="1"/>
      </xdr:nvSpPr>
      <xdr:spPr>
        <a:xfrm>
          <a:off x="2378710" y="114300"/>
          <a:ext cx="2336800" cy="196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ctr"/>
          <a:r>
            <a:rPr lang="en-US" sz="1100" b="1">
              <a:solidFill>
                <a:srgbClr val="E0FBFC"/>
              </a:solidFill>
              <a:latin typeface="Arial" panose="020B0604020202020204" pitchFamily="34" charset="0"/>
              <a:cs typeface="Arial" panose="020B0604020202020204" pitchFamily="34" charset="0"/>
            </a:rPr>
            <a:t>Cross-Section View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19050</xdr:rowOff>
    </xdr:from>
    <xdr:to>
      <xdr:col>15</xdr:col>
      <xdr:colOff>0</xdr:colOff>
      <xdr:row>20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113976</xdr:colOff>
      <xdr:row>17</xdr:row>
      <xdr:rowOff>0</xdr:rowOff>
    </xdr:from>
    <xdr:to>
      <xdr:col>3</xdr:col>
      <xdr:colOff>0</xdr:colOff>
      <xdr:row>20</xdr:row>
      <xdr:rowOff>0</xdr:rowOff>
    </xdr:to>
    <xdr:sp macro="[0]!go_to_UserInput.go_to_UserInput" textlink="">
      <xdr:nvSpPr>
        <xdr:cNvPr id="4" name="Rounded Rectangle 3"/>
        <xdr:cNvSpPr/>
      </xdr:nvSpPr>
      <xdr:spPr>
        <a:xfrm>
          <a:off x="831526" y="3270250"/>
          <a:ext cx="1359224" cy="552450"/>
        </a:xfrm>
        <a:prstGeom prst="roundRect">
          <a:avLst/>
        </a:prstGeom>
        <a:solidFill>
          <a:srgbClr val="EE6C4D"/>
        </a:solidFill>
        <a:ln>
          <a:solidFill>
            <a:srgbClr val="98C1D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rgbClr val="E0FBFC"/>
              </a:solidFill>
            </a:rPr>
            <a:t>Return to User Input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S24"/>
  <sheetViews>
    <sheetView showGridLines="0" showRowColHeaders="0" tabSelected="1" zoomScale="125" zoomScaleNormal="125" zoomScaleSheetLayoutView="100" workbookViewId="0">
      <selection activeCell="B4" sqref="B4"/>
    </sheetView>
  </sheetViews>
  <sheetFormatPr defaultColWidth="0" defaultRowHeight="15" zeroHeight="1" x14ac:dyDescent="0.25"/>
  <cols>
    <col min="1" max="1" width="12.28515625" style="12" customWidth="1"/>
    <col min="2" max="2" width="9.140625" style="13" customWidth="1"/>
    <col min="3" max="3" width="3.7109375" style="14" bestFit="1" customWidth="1"/>
    <col min="4" max="4" width="2.85546875" style="15" customWidth="1"/>
    <col min="5" max="9" width="9.140625" style="15" customWidth="1"/>
    <col min="10" max="10" width="7" style="15" customWidth="1"/>
    <col min="11" max="11" width="1.7109375" style="15" customWidth="1"/>
    <col min="12" max="12" width="8.42578125" style="15" customWidth="1"/>
    <col min="13" max="13" width="4.5703125" style="15" hidden="1" customWidth="1"/>
    <col min="14" max="14" width="1.7109375" style="15" hidden="1" customWidth="1"/>
    <col min="15" max="19" width="0" style="15" hidden="1" customWidth="1"/>
    <col min="20" max="16384" width="9.140625" style="15" hidden="1"/>
  </cols>
  <sheetData>
    <row r="1" spans="1:11" ht="22.9" customHeight="1" x14ac:dyDescent="0.25">
      <c r="A1" s="40" t="s">
        <v>9</v>
      </c>
      <c r="B1" s="40"/>
      <c r="C1" s="40"/>
      <c r="E1" s="16"/>
      <c r="F1" s="16"/>
      <c r="G1" s="16"/>
      <c r="H1" s="16"/>
      <c r="I1" s="16"/>
      <c r="J1" s="16"/>
      <c r="K1" s="17"/>
    </row>
    <row r="2" spans="1:11" ht="15" customHeight="1" x14ac:dyDescent="0.25">
      <c r="A2" s="12" t="s">
        <v>0</v>
      </c>
      <c r="B2" s="20">
        <v>42</v>
      </c>
      <c r="C2" s="14" t="s">
        <v>13</v>
      </c>
    </row>
    <row r="3" spans="1:11" ht="15" customHeight="1" x14ac:dyDescent="0.25">
      <c r="A3" s="12" t="s">
        <v>1</v>
      </c>
      <c r="B3" s="20">
        <v>12</v>
      </c>
    </row>
    <row r="4" spans="1:11" ht="15" customHeight="1" x14ac:dyDescent="0.25">
      <c r="A4" s="12" t="s">
        <v>8</v>
      </c>
      <c r="B4" s="20">
        <v>11</v>
      </c>
    </row>
    <row r="5" spans="1:11" ht="15" customHeight="1" x14ac:dyDescent="0.25">
      <c r="A5" s="12" t="s">
        <v>2</v>
      </c>
      <c r="B5" s="21">
        <v>3</v>
      </c>
      <c r="C5" s="14" t="s">
        <v>13</v>
      </c>
    </row>
    <row r="6" spans="1:11" ht="15" customHeight="1" x14ac:dyDescent="0.35">
      <c r="A6" s="12" t="s">
        <v>51</v>
      </c>
      <c r="B6" s="22">
        <f>B2^2*PI()/4</f>
        <v>1385.4423602330987</v>
      </c>
      <c r="C6" s="18" t="s">
        <v>52</v>
      </c>
    </row>
    <row r="7" spans="1:11" ht="9" customHeight="1" x14ac:dyDescent="0.25"/>
    <row r="8" spans="1:11" ht="15.75" customHeight="1" x14ac:dyDescent="0.25">
      <c r="A8" s="41" t="s">
        <v>10</v>
      </c>
      <c r="B8" s="41"/>
      <c r="C8" s="41"/>
    </row>
    <row r="9" spans="1:11" ht="15" customHeight="1" x14ac:dyDescent="0.35">
      <c r="A9" s="12" t="s">
        <v>53</v>
      </c>
      <c r="B9" s="20">
        <v>150</v>
      </c>
      <c r="C9" s="14" t="s">
        <v>16</v>
      </c>
    </row>
    <row r="10" spans="1:11" ht="15" customHeight="1" x14ac:dyDescent="0.35">
      <c r="A10" s="12" t="s">
        <v>54</v>
      </c>
      <c r="B10" s="20">
        <v>3000</v>
      </c>
      <c r="C10" s="14" t="s">
        <v>14</v>
      </c>
    </row>
    <row r="11" spans="1:11" ht="15" customHeight="1" x14ac:dyDescent="0.35">
      <c r="A11" s="19" t="s">
        <v>55</v>
      </c>
      <c r="B11" s="21">
        <v>3.0000000000000001E-3</v>
      </c>
      <c r="C11" s="15"/>
    </row>
    <row r="12" spans="1:11" ht="15" customHeight="1" x14ac:dyDescent="0.35">
      <c r="A12" s="12" t="s">
        <v>56</v>
      </c>
      <c r="B12" s="22">
        <f>33*SQRT(B10)*(B9)^1.5/1000</f>
        <v>3320.5609465871867</v>
      </c>
      <c r="C12" s="14" t="s">
        <v>15</v>
      </c>
    </row>
    <row r="13" spans="1:11" ht="15" customHeight="1" x14ac:dyDescent="0.25">
      <c r="A13" s="19" t="s">
        <v>11</v>
      </c>
      <c r="B13" s="23">
        <f>IF(B10&lt;=4000,0.85,IF(B10&lt;=5000,0.8,IF(B10&lt;=6000,0.75,IF(B10&lt;=7000,0.7,0.65))))</f>
        <v>0.85</v>
      </c>
    </row>
    <row r="14" spans="1:11" ht="15" customHeight="1" x14ac:dyDescent="0.35">
      <c r="A14" s="19" t="s">
        <v>57</v>
      </c>
      <c r="B14" s="22">
        <f>B6-B21</f>
        <v>1366.704959169293</v>
      </c>
      <c r="C14" s="18" t="s">
        <v>52</v>
      </c>
    </row>
    <row r="15" spans="1:11" ht="9" customHeight="1" x14ac:dyDescent="0.25"/>
    <row r="16" spans="1:11" ht="15.95" customHeight="1" x14ac:dyDescent="0.25">
      <c r="A16" s="41" t="s">
        <v>12</v>
      </c>
      <c r="B16" s="41"/>
      <c r="C16" s="41"/>
    </row>
    <row r="17" spans="1:5" ht="15" customHeight="1" x14ac:dyDescent="0.35">
      <c r="A17" s="12" t="s">
        <v>58</v>
      </c>
      <c r="B17" s="20">
        <v>60</v>
      </c>
      <c r="C17" s="14" t="s">
        <v>15</v>
      </c>
    </row>
    <row r="18" spans="1:5" ht="15" customHeight="1" x14ac:dyDescent="0.35">
      <c r="A18" s="12" t="s">
        <v>59</v>
      </c>
      <c r="B18" s="21">
        <v>29000</v>
      </c>
      <c r="C18" s="14" t="s">
        <v>15</v>
      </c>
    </row>
    <row r="19" spans="1:5" ht="15" customHeight="1" x14ac:dyDescent="0.35">
      <c r="A19" s="12" t="s">
        <v>60</v>
      </c>
      <c r="B19" s="23">
        <f>IF(B4&lt;=8,B4/8,IF(B4=9,1.128,IF(B4=10,1.27,IF(B4=11,1.41,IF(B4=14,1.693,IF(B4=18,2.257))))))</f>
        <v>1.41</v>
      </c>
      <c r="C19" s="14" t="s">
        <v>13</v>
      </c>
    </row>
    <row r="20" spans="1:5" ht="15" customHeight="1" x14ac:dyDescent="0.35">
      <c r="A20" s="12" t="s">
        <v>61</v>
      </c>
      <c r="B20" s="24">
        <f>B19^2*PI()/4</f>
        <v>1.5614500886504667</v>
      </c>
      <c r="C20" s="18" t="s">
        <v>52</v>
      </c>
    </row>
    <row r="21" spans="1:5" ht="15" customHeight="1" x14ac:dyDescent="0.35">
      <c r="A21" s="12" t="s">
        <v>62</v>
      </c>
      <c r="B21" s="25">
        <f>B20*B3</f>
        <v>18.737401063805599</v>
      </c>
      <c r="C21" s="18" t="s">
        <v>52</v>
      </c>
      <c r="E21" s="15" t="s">
        <v>40</v>
      </c>
    </row>
    <row r="22" spans="1:5" ht="9" customHeight="1" x14ac:dyDescent="0.25"/>
    <row r="23" spans="1:5" hidden="1" x14ac:dyDescent="0.25"/>
    <row r="24" spans="1:5" hidden="1" x14ac:dyDescent="0.25"/>
  </sheetData>
  <sheetProtection sheet="1" objects="1" scenarios="1"/>
  <mergeCells count="3">
    <mergeCell ref="A1:C1"/>
    <mergeCell ref="A8:C8"/>
    <mergeCell ref="A16:C16"/>
  </mergeCells>
  <dataValidations count="1">
    <dataValidation type="list" allowBlank="1" showInputMessage="1" showErrorMessage="1" sqref="B4">
      <formula1>"3,4,5,6,7,8,9,10,11,14,18"</formula1>
    </dataValidation>
  </dataValidations>
  <pageMargins left="0.25" right="0.25" top="0.75" bottom="0.75" header="0.3" footer="0.3"/>
  <pageSetup paperSize="6" scale="92" orientation="landscape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9"/>
  <sheetViews>
    <sheetView topLeftCell="A3" workbookViewId="0">
      <selection activeCell="G15" sqref="G15"/>
    </sheetView>
  </sheetViews>
  <sheetFormatPr defaultRowHeight="15" x14ac:dyDescent="0.25"/>
  <sheetData>
    <row r="1" spans="1:11" ht="18.75" x14ac:dyDescent="0.25">
      <c r="A1" s="42" t="s">
        <v>3</v>
      </c>
      <c r="B1" s="42"/>
      <c r="C1" s="42"/>
      <c r="D1" s="2"/>
      <c r="E1" s="42" t="s">
        <v>7</v>
      </c>
      <c r="F1" s="42"/>
      <c r="G1" s="42"/>
      <c r="I1" s="3"/>
      <c r="J1" s="3"/>
      <c r="K1" s="3"/>
    </row>
    <row r="2" spans="1:11" x14ac:dyDescent="0.25">
      <c r="A2" s="1" t="s">
        <v>4</v>
      </c>
      <c r="B2" s="1" t="s">
        <v>5</v>
      </c>
      <c r="C2" s="1" t="s">
        <v>6</v>
      </c>
      <c r="E2" s="1" t="s">
        <v>8</v>
      </c>
      <c r="F2" s="1" t="s">
        <v>5</v>
      </c>
      <c r="G2" s="1" t="s">
        <v>6</v>
      </c>
      <c r="I2" s="1"/>
      <c r="J2" s="1"/>
      <c r="K2" s="1"/>
    </row>
    <row r="3" spans="1:11" x14ac:dyDescent="0.25">
      <c r="A3">
        <v>1</v>
      </c>
      <c r="B3">
        <f>UserInput!$B$2/2*COS((A3-1)*10*PI()/180)</f>
        <v>21</v>
      </c>
      <c r="C3">
        <f>UserInput!$B$2/2*SIN((A3-1)*10*PI()/180)</f>
        <v>0</v>
      </c>
      <c r="E3">
        <v>1</v>
      </c>
      <c r="F3">
        <v>4.4808047183373905</v>
      </c>
      <c r="G3">
        <v>-16.722590867629496</v>
      </c>
    </row>
    <row r="4" spans="1:11" x14ac:dyDescent="0.25">
      <c r="A4">
        <v>2</v>
      </c>
      <c r="B4">
        <f>UserInput!$B$2/2*COS((A4-1)*10*PI()/180)</f>
        <v>20.680962813256368</v>
      </c>
      <c r="C4">
        <f>UserInput!$B$2/2*SIN((A4-1)*10*PI()/180)</f>
        <v>3.646611731005537</v>
      </c>
      <c r="E4">
        <v>2</v>
      </c>
      <c r="F4">
        <v>12.241786149292103</v>
      </c>
      <c r="G4">
        <v>-12.241786149292105</v>
      </c>
    </row>
    <row r="5" spans="1:11" x14ac:dyDescent="0.25">
      <c r="A5">
        <v>3</v>
      </c>
      <c r="B5">
        <f>UserInput!$B$2/2*COS((A5-1)*10*PI()/180)</f>
        <v>19.733545036504076</v>
      </c>
      <c r="C5">
        <f>UserInput!$B$2/2*SIN((A5-1)*10*PI()/180)</f>
        <v>7.1824230098390434</v>
      </c>
      <c r="E5">
        <v>3</v>
      </c>
      <c r="F5">
        <v>16.722590867629492</v>
      </c>
      <c r="G5">
        <v>-4.480804718337394</v>
      </c>
    </row>
    <row r="6" spans="1:11" x14ac:dyDescent="0.25">
      <c r="A6">
        <v>4</v>
      </c>
      <c r="B6">
        <f>UserInput!$B$2/2*COS((A6-1)*10*PI()/180)</f>
        <v>18.186533479473212</v>
      </c>
      <c r="C6">
        <f>UserInput!$B$2/2*SIN((A6-1)*10*PI()/180)</f>
        <v>10.499999999999998</v>
      </c>
      <c r="E6">
        <v>4</v>
      </c>
      <c r="F6">
        <v>16.722590867629496</v>
      </c>
      <c r="G6">
        <v>4.4808047183373887</v>
      </c>
    </row>
    <row r="7" spans="1:11" x14ac:dyDescent="0.25">
      <c r="A7">
        <v>5</v>
      </c>
      <c r="B7">
        <f>UserInput!$B$2/2*COS((A7-1)*10*PI()/180)</f>
        <v>16.086933305498537</v>
      </c>
      <c r="C7">
        <f>UserInput!$B$2/2*SIN((A7-1)*10*PI()/180)</f>
        <v>13.498539803417325</v>
      </c>
      <c r="E7">
        <v>5</v>
      </c>
      <c r="F7">
        <v>12.241786149292105</v>
      </c>
      <c r="G7">
        <v>12.241786149292103</v>
      </c>
    </row>
    <row r="8" spans="1:11" x14ac:dyDescent="0.25">
      <c r="A8">
        <v>6</v>
      </c>
      <c r="B8">
        <f>UserInput!$B$2/2*COS((A8-1)*10*PI()/180)</f>
        <v>13.498539803417327</v>
      </c>
      <c r="C8">
        <f>UserInput!$B$2/2*SIN((A8-1)*10*PI()/180)</f>
        <v>16.086933305498537</v>
      </c>
      <c r="E8">
        <v>6</v>
      </c>
      <c r="F8">
        <v>4.4808047183373949</v>
      </c>
      <c r="G8">
        <v>16.722590867629492</v>
      </c>
    </row>
    <row r="9" spans="1:11" x14ac:dyDescent="0.25">
      <c r="A9">
        <v>7</v>
      </c>
      <c r="B9">
        <f>UserInput!$B$2/2*COS((A9-1)*10*PI()/180)</f>
        <v>10.500000000000002</v>
      </c>
      <c r="C9">
        <f>UserInput!$B$2/2*SIN((A9-1)*10*PI()/180)</f>
        <v>18.186533479473212</v>
      </c>
      <c r="E9">
        <v>7</v>
      </c>
      <c r="F9">
        <v>-4.4808047183373834</v>
      </c>
      <c r="G9">
        <v>16.722590867629496</v>
      </c>
    </row>
    <row r="10" spans="1:11" x14ac:dyDescent="0.25">
      <c r="A10">
        <v>8</v>
      </c>
      <c r="B10">
        <f>UserInput!$B$2/2*COS((A10-1)*10*PI()/180)</f>
        <v>7.1824230098390451</v>
      </c>
      <c r="C10">
        <f>UserInput!$B$2/2*SIN((A10-1)*10*PI()/180)</f>
        <v>19.733545036504076</v>
      </c>
      <c r="E10">
        <v>8</v>
      </c>
      <c r="F10">
        <v>-12.241786149292096</v>
      </c>
      <c r="G10">
        <v>12.241786149292111</v>
      </c>
    </row>
    <row r="11" spans="1:11" x14ac:dyDescent="0.25">
      <c r="A11">
        <v>9</v>
      </c>
      <c r="B11">
        <f>UserInput!$B$2/2*COS((A11-1)*10*PI()/180)</f>
        <v>3.6466117310055388</v>
      </c>
      <c r="C11">
        <f>UserInput!$B$2/2*SIN((A11-1)*10*PI()/180)</f>
        <v>20.680962813256368</v>
      </c>
      <c r="E11">
        <v>9</v>
      </c>
      <c r="F11">
        <v>-16.722590867629492</v>
      </c>
      <c r="G11">
        <v>4.4808047183374038</v>
      </c>
    </row>
    <row r="12" spans="1:11" x14ac:dyDescent="0.25">
      <c r="A12">
        <v>10</v>
      </c>
      <c r="B12">
        <f>UserInput!$B$2/2*COS((A12-1)*10*PI()/180)</f>
        <v>1.286405877654051E-15</v>
      </c>
      <c r="C12">
        <f>UserInput!$B$2/2*SIN((A12-1)*10*PI()/180)</f>
        <v>21</v>
      </c>
      <c r="E12">
        <v>10</v>
      </c>
      <c r="F12">
        <v>-16.722590867629496</v>
      </c>
      <c r="G12">
        <v>-4.4808047183373825</v>
      </c>
    </row>
    <row r="13" spans="1:11" x14ac:dyDescent="0.25">
      <c r="A13">
        <v>11</v>
      </c>
      <c r="B13">
        <f>UserInput!$B$2/2*COS((A13-1)*10*PI()/180)</f>
        <v>-3.6466117310055362</v>
      </c>
      <c r="C13">
        <f>UserInput!$B$2/2*SIN((A13-1)*10*PI()/180)</f>
        <v>20.680962813256368</v>
      </c>
      <c r="E13">
        <v>11</v>
      </c>
      <c r="F13">
        <v>-12.241786149292107</v>
      </c>
      <c r="G13">
        <v>-12.241786149292102</v>
      </c>
    </row>
    <row r="14" spans="1:11" x14ac:dyDescent="0.25">
      <c r="A14">
        <v>12</v>
      </c>
      <c r="B14">
        <f>UserInput!$B$2/2*COS((A14-1)*10*PI()/180)</f>
        <v>-7.1824230098390434</v>
      </c>
      <c r="C14">
        <f>UserInput!$B$2/2*SIN((A14-1)*10*PI()/180)</f>
        <v>19.733545036504076</v>
      </c>
      <c r="E14">
        <v>12</v>
      </c>
      <c r="F14">
        <v>-4.4808047183374047</v>
      </c>
      <c r="G14">
        <v>-16.722590867629492</v>
      </c>
    </row>
    <row r="15" spans="1:11" x14ac:dyDescent="0.25">
      <c r="A15">
        <v>13</v>
      </c>
      <c r="B15">
        <f>UserInput!$B$2/2*COS((A15-1)*10*PI()/180)</f>
        <v>-10.499999999999995</v>
      </c>
      <c r="C15">
        <f>UserInput!$B$2/2*SIN((A15-1)*10*PI()/180)</f>
        <v>18.186533479473212</v>
      </c>
    </row>
    <row r="16" spans="1:11" x14ac:dyDescent="0.25">
      <c r="A16">
        <v>14</v>
      </c>
      <c r="B16">
        <f>UserInput!$B$2/2*COS((A16-1)*10*PI()/180)</f>
        <v>-13.498539803417327</v>
      </c>
      <c r="C16">
        <f>UserInput!$B$2/2*SIN((A16-1)*10*PI()/180)</f>
        <v>16.086933305498537</v>
      </c>
    </row>
    <row r="17" spans="1:3" x14ac:dyDescent="0.25">
      <c r="A17">
        <v>15</v>
      </c>
      <c r="B17">
        <f>UserInput!$B$2/2*COS((A17-1)*10*PI()/180)</f>
        <v>-16.086933305498537</v>
      </c>
      <c r="C17">
        <f>UserInput!$B$2/2*SIN((A17-1)*10*PI()/180)</f>
        <v>13.498539803417328</v>
      </c>
    </row>
    <row r="18" spans="1:3" x14ac:dyDescent="0.25">
      <c r="A18">
        <v>16</v>
      </c>
      <c r="B18">
        <f>UserInput!$B$2/2*COS((A18-1)*10*PI()/180)</f>
        <v>-18.186533479473212</v>
      </c>
      <c r="C18">
        <f>UserInput!$B$2/2*SIN((A18-1)*10*PI()/180)</f>
        <v>10.499999999999998</v>
      </c>
    </row>
    <row r="19" spans="1:3" x14ac:dyDescent="0.25">
      <c r="A19">
        <v>17</v>
      </c>
      <c r="B19">
        <f>UserInput!$B$2/2*COS((A19-1)*10*PI()/180)</f>
        <v>-19.733545036504076</v>
      </c>
      <c r="C19">
        <f>UserInput!$B$2/2*SIN((A19-1)*10*PI()/180)</f>
        <v>7.1824230098390469</v>
      </c>
    </row>
    <row r="20" spans="1:3" x14ac:dyDescent="0.25">
      <c r="A20">
        <v>18</v>
      </c>
      <c r="B20">
        <f>UserInput!$B$2/2*COS((A20-1)*10*PI()/180)</f>
        <v>-20.680962813256368</v>
      </c>
      <c r="C20">
        <f>UserInput!$B$2/2*SIN((A20-1)*10*PI()/180)</f>
        <v>3.6466117310055357</v>
      </c>
    </row>
    <row r="21" spans="1:3" x14ac:dyDescent="0.25">
      <c r="A21">
        <v>19</v>
      </c>
      <c r="B21">
        <f>UserInput!$B$2/2*COS((A21-1)*10*PI()/180)</f>
        <v>-21</v>
      </c>
      <c r="C21">
        <f>UserInput!$B$2/2*SIN((A21-1)*10*PI()/180)</f>
        <v>2.572811755308102E-15</v>
      </c>
    </row>
    <row r="22" spans="1:3" x14ac:dyDescent="0.25">
      <c r="A22">
        <v>20</v>
      </c>
      <c r="B22">
        <f>UserInput!$B$2/2*COS((A22-1)*10*PI()/180)</f>
        <v>-20.680962813256368</v>
      </c>
      <c r="C22">
        <f>UserInput!$B$2/2*SIN((A22-1)*10*PI()/180)</f>
        <v>-3.6466117310055397</v>
      </c>
    </row>
    <row r="23" spans="1:3" x14ac:dyDescent="0.25">
      <c r="A23">
        <v>21</v>
      </c>
      <c r="B23">
        <f>UserInput!$B$2/2*COS((A23-1)*10*PI()/180)</f>
        <v>-19.733545036504076</v>
      </c>
      <c r="C23">
        <f>UserInput!$B$2/2*SIN((A23-1)*10*PI()/180)</f>
        <v>-7.1824230098390416</v>
      </c>
    </row>
    <row r="24" spans="1:3" x14ac:dyDescent="0.25">
      <c r="A24">
        <v>22</v>
      </c>
      <c r="B24">
        <f>UserInput!$B$2/2*COS((A24-1)*10*PI()/180)</f>
        <v>-18.186533479473212</v>
      </c>
      <c r="C24">
        <f>UserInput!$B$2/2*SIN((A24-1)*10*PI()/180)</f>
        <v>-10.500000000000002</v>
      </c>
    </row>
    <row r="25" spans="1:3" x14ac:dyDescent="0.25">
      <c r="A25">
        <v>23</v>
      </c>
      <c r="B25">
        <f>UserInput!$B$2/2*COS((A25-1)*10*PI()/180)</f>
        <v>-16.086933305498537</v>
      </c>
      <c r="C25">
        <f>UserInput!$B$2/2*SIN((A25-1)*10*PI()/180)</f>
        <v>-13.498539803417325</v>
      </c>
    </row>
    <row r="26" spans="1:3" x14ac:dyDescent="0.25">
      <c r="A26">
        <v>24</v>
      </c>
      <c r="B26">
        <f>UserInput!$B$2/2*COS((A26-1)*10*PI()/180)</f>
        <v>-13.498539803417328</v>
      </c>
      <c r="C26">
        <f>UserInput!$B$2/2*SIN((A26-1)*10*PI()/180)</f>
        <v>-16.086933305498537</v>
      </c>
    </row>
    <row r="27" spans="1:3" x14ac:dyDescent="0.25">
      <c r="A27">
        <v>25</v>
      </c>
      <c r="B27">
        <f>UserInput!$B$2/2*COS((A27-1)*10*PI()/180)</f>
        <v>-10.500000000000009</v>
      </c>
      <c r="C27">
        <f>UserInput!$B$2/2*SIN((A27-1)*10*PI()/180)</f>
        <v>-18.186533479473205</v>
      </c>
    </row>
    <row r="28" spans="1:3" x14ac:dyDescent="0.25">
      <c r="A28">
        <v>26</v>
      </c>
      <c r="B28">
        <f>UserInput!$B$2/2*COS((A28-1)*10*PI()/180)</f>
        <v>-7.1824230098390567</v>
      </c>
      <c r="C28">
        <f>UserInput!$B$2/2*SIN((A28-1)*10*PI()/180)</f>
        <v>-19.733545036504072</v>
      </c>
    </row>
    <row r="29" spans="1:3" x14ac:dyDescent="0.25">
      <c r="A29">
        <v>27</v>
      </c>
      <c r="B29">
        <f>UserInput!$B$2/2*COS((A29-1)*10*PI()/180)</f>
        <v>-3.646611731005537</v>
      </c>
      <c r="C29">
        <f>UserInput!$B$2/2*SIN((A29-1)*10*PI()/180)</f>
        <v>-20.680962813256368</v>
      </c>
    </row>
    <row r="30" spans="1:3" x14ac:dyDescent="0.25">
      <c r="A30">
        <v>28</v>
      </c>
      <c r="B30">
        <f>UserInput!$B$2/2*COS((A30-1)*10*PI()/180)</f>
        <v>-3.859217632962153E-15</v>
      </c>
      <c r="C30">
        <f>UserInput!$B$2/2*SIN((A30-1)*10*PI()/180)</f>
        <v>-21</v>
      </c>
    </row>
    <row r="31" spans="1:3" x14ac:dyDescent="0.25">
      <c r="A31">
        <v>29</v>
      </c>
      <c r="B31">
        <f>UserInput!$B$2/2*COS((A31-1)*10*PI()/180)</f>
        <v>3.6466117310055295</v>
      </c>
      <c r="C31">
        <f>UserInput!$B$2/2*SIN((A31-1)*10*PI()/180)</f>
        <v>-20.680962813256372</v>
      </c>
    </row>
    <row r="32" spans="1:3" x14ac:dyDescent="0.25">
      <c r="A32">
        <v>30</v>
      </c>
      <c r="B32">
        <f>UserInput!$B$2/2*COS((A32-1)*10*PI()/180)</f>
        <v>7.1824230098390309</v>
      </c>
      <c r="C32">
        <f>UserInput!$B$2/2*SIN((A32-1)*10*PI()/180)</f>
        <v>-19.733545036504079</v>
      </c>
    </row>
    <row r="33" spans="1:3" x14ac:dyDescent="0.25">
      <c r="A33">
        <v>31</v>
      </c>
      <c r="B33">
        <f>UserInput!$B$2/2*COS((A33-1)*10*PI()/180)</f>
        <v>10.500000000000002</v>
      </c>
      <c r="C33">
        <f>UserInput!$B$2/2*SIN((A33-1)*10*PI()/180)</f>
        <v>-18.186533479473212</v>
      </c>
    </row>
    <row r="34" spans="1:3" x14ac:dyDescent="0.25">
      <c r="A34">
        <v>32</v>
      </c>
      <c r="B34">
        <f>UserInput!$B$2/2*COS((A34-1)*10*PI()/180)</f>
        <v>13.498539803417325</v>
      </c>
      <c r="C34">
        <f>UserInput!$B$2/2*SIN((A34-1)*10*PI()/180)</f>
        <v>-16.08693330549854</v>
      </c>
    </row>
    <row r="35" spans="1:3" x14ac:dyDescent="0.25">
      <c r="A35">
        <v>33</v>
      </c>
      <c r="B35">
        <f>UserInput!$B$2/2*COS((A35-1)*10*PI()/180)</f>
        <v>16.086933305498533</v>
      </c>
      <c r="C35">
        <f>UserInput!$B$2/2*SIN((A35-1)*10*PI()/180)</f>
        <v>-13.498539803417332</v>
      </c>
    </row>
    <row r="36" spans="1:3" x14ac:dyDescent="0.25">
      <c r="A36">
        <v>34</v>
      </c>
      <c r="B36">
        <f>UserInput!$B$2/2*COS((A36-1)*10*PI()/180)</f>
        <v>18.186533479473205</v>
      </c>
      <c r="C36">
        <f>UserInput!$B$2/2*SIN((A36-1)*10*PI()/180)</f>
        <v>-10.500000000000009</v>
      </c>
    </row>
    <row r="37" spans="1:3" x14ac:dyDescent="0.25">
      <c r="A37">
        <v>35</v>
      </c>
      <c r="B37">
        <f>UserInput!$B$2/2*COS((A37-1)*10*PI()/180)</f>
        <v>19.733545036504076</v>
      </c>
      <c r="C37">
        <f>UserInput!$B$2/2*SIN((A37-1)*10*PI()/180)</f>
        <v>-7.1824230098390407</v>
      </c>
    </row>
    <row r="38" spans="1:3" x14ac:dyDescent="0.25">
      <c r="A38">
        <v>36</v>
      </c>
      <c r="B38">
        <f>UserInput!$B$2/2*COS((A38-1)*10*PI()/180)</f>
        <v>20.680962813256365</v>
      </c>
      <c r="C38">
        <f>UserInput!$B$2/2*SIN((A38-1)*10*PI()/180)</f>
        <v>-3.6466117310055566</v>
      </c>
    </row>
    <row r="39" spans="1:3" x14ac:dyDescent="0.25">
      <c r="A39">
        <v>37</v>
      </c>
      <c r="B39">
        <f>UserInput!$B$2/2*COS((A39-1)*10*PI()/180)</f>
        <v>21</v>
      </c>
      <c r="C39">
        <f>UserInput!$B$2/2*SIN((A39-1)*10*PI()/180)</f>
        <v>-5.145623510616204E-15</v>
      </c>
    </row>
  </sheetData>
  <mergeCells count="2">
    <mergeCell ref="A1:C1"/>
    <mergeCell ref="E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63"/>
  <sheetViews>
    <sheetView topLeftCell="A34" workbookViewId="0">
      <selection activeCell="C64" sqref="C64"/>
    </sheetView>
  </sheetViews>
  <sheetFormatPr defaultRowHeight="15" x14ac:dyDescent="0.25"/>
  <sheetData>
    <row r="1" spans="1:16" x14ac:dyDescent="0.25">
      <c r="A1" s="4" t="s">
        <v>17</v>
      </c>
      <c r="E1" t="s">
        <v>21</v>
      </c>
    </row>
    <row r="2" spans="1:16" x14ac:dyDescent="0.25">
      <c r="A2" t="s">
        <v>45</v>
      </c>
      <c r="B2" t="s">
        <v>19</v>
      </c>
      <c r="C2" t="s">
        <v>22</v>
      </c>
      <c r="D2" t="s">
        <v>20</v>
      </c>
      <c r="E2">
        <v>1</v>
      </c>
      <c r="F2">
        <v>2</v>
      </c>
      <c r="G2">
        <v>3</v>
      </c>
      <c r="H2">
        <v>4</v>
      </c>
      <c r="I2">
        <v>5</v>
      </c>
      <c r="J2">
        <v>6</v>
      </c>
      <c r="K2">
        <v>7</v>
      </c>
      <c r="L2">
        <v>8</v>
      </c>
      <c r="M2">
        <v>9</v>
      </c>
      <c r="N2">
        <v>10</v>
      </c>
      <c r="O2">
        <v>11</v>
      </c>
      <c r="P2">
        <v>12</v>
      </c>
    </row>
    <row r="3" spans="1:16" x14ac:dyDescent="0.25">
      <c r="A3" t="s">
        <v>46</v>
      </c>
      <c r="B3" t="s">
        <v>23</v>
      </c>
      <c r="C3">
        <f>-UserInput!$B$11</f>
        <v>-3.0000000000000001E-3</v>
      </c>
      <c r="D3">
        <f>-UserInput!B11</f>
        <v>-3.0000000000000001E-3</v>
      </c>
      <c r="E3">
        <v>-3.0000000000000001E-3</v>
      </c>
      <c r="F3">
        <v>-3.0000000000000001E-3</v>
      </c>
      <c r="G3">
        <v>-3.0000000000000001E-3</v>
      </c>
      <c r="H3">
        <v>-3.0000000000000001E-3</v>
      </c>
      <c r="I3">
        <v>-3.0000000000000001E-3</v>
      </c>
      <c r="J3">
        <v>-3.0000000000000001E-3</v>
      </c>
      <c r="K3">
        <v>-3.0000000000000001E-3</v>
      </c>
      <c r="L3">
        <v>-3.0000000000000001E-3</v>
      </c>
      <c r="M3">
        <v>-3.0000000000000001E-3</v>
      </c>
      <c r="N3">
        <v>-3.0000000000000001E-3</v>
      </c>
      <c r="O3">
        <v>-3.0000000000000001E-3</v>
      </c>
      <c r="P3">
        <v>-3.0000000000000001E-3</v>
      </c>
    </row>
    <row r="4" spans="1:16" x14ac:dyDescent="0.25">
      <c r="A4" s="11" t="s">
        <v>48</v>
      </c>
      <c r="B4" s="5">
        <f>(UserInput!$B$2-UserInput!$B$5-UserInput!$B$19/2)*(-C4/(D4-C4))</f>
        <v>38.295000000000002</v>
      </c>
      <c r="C4">
        <f>-UserInput!$B$11</f>
        <v>-3.0000000000000001E-3</v>
      </c>
      <c r="D4">
        <v>0</v>
      </c>
      <c r="E4">
        <v>-4.4842078524912337E-5</v>
      </c>
      <c r="F4">
        <v>-3.958647748302308E-4</v>
      </c>
      <c r="G4">
        <v>-1.0038539194408623E-3</v>
      </c>
      <c r="H4">
        <v>-1.7058993120514993E-3</v>
      </c>
      <c r="I4">
        <v>-2.3138884566621309E-3</v>
      </c>
      <c r="J4">
        <v>-2.6649111529674493E-3</v>
      </c>
      <c r="K4">
        <v>-2.6649111529674493E-3</v>
      </c>
      <c r="L4">
        <v>-2.3138884566621318E-3</v>
      </c>
      <c r="M4">
        <v>-1.7058993120515004E-3</v>
      </c>
      <c r="N4">
        <v>-1.0038539194408632E-3</v>
      </c>
      <c r="O4">
        <v>-3.9586477483023107E-4</v>
      </c>
      <c r="P4">
        <v>-4.4842078524912621E-5</v>
      </c>
    </row>
    <row r="5" spans="1:16" x14ac:dyDescent="0.25">
      <c r="A5" s="10">
        <v>0.25</v>
      </c>
      <c r="B5" s="5">
        <f>(UserInput!$B$2-UserInput!$B$5-UserInput!$B$19/2)*(-C5/(D5-C5))</f>
        <v>32.663382352941184</v>
      </c>
      <c r="C5">
        <f>-UserInput!$B$11</f>
        <v>-3.0000000000000001E-3</v>
      </c>
      <c r="D5">
        <f>A5*UserInput!$B$17/UserInput!$B$18</f>
        <v>5.1724137931034484E-4</v>
      </c>
      <c r="E5">
        <v>4.6466790793630897E-4</v>
      </c>
      <c r="F5">
        <v>5.3124057095590871E-5</v>
      </c>
      <c r="G5">
        <v>-6.5969080210308035E-4</v>
      </c>
      <c r="H5">
        <v>-1.4827785037845166E-3</v>
      </c>
      <c r="I5">
        <v>-2.1955933629831882E-3</v>
      </c>
      <c r="J5">
        <v>-2.6071372138239059E-3</v>
      </c>
      <c r="K5">
        <v>-2.6071372138239063E-3</v>
      </c>
      <c r="L5">
        <v>-2.1955933629831887E-3</v>
      </c>
      <c r="M5">
        <v>-1.4827785037845179E-3</v>
      </c>
      <c r="N5">
        <v>-6.5969080210308132E-4</v>
      </c>
      <c r="O5">
        <v>5.3124057095590545E-5</v>
      </c>
      <c r="P5">
        <v>4.6466790793630864E-4</v>
      </c>
    </row>
    <row r="6" spans="1:16" x14ac:dyDescent="0.25">
      <c r="A6" s="10">
        <f>A5+0.25</f>
        <v>0.5</v>
      </c>
      <c r="B6" s="5">
        <f>(UserInput!$B$2-UserInput!$B$5-UserInput!$B$19/2)*(-C6/(D6-C6))</f>
        <v>28.475769230769234</v>
      </c>
      <c r="C6">
        <f>-UserInput!$B$11</f>
        <v>-3.0000000000000001E-3</v>
      </c>
      <c r="D6">
        <f>A6*UserInput!$B$17/UserInput!$B$18</f>
        <v>1.0344827586206897E-3</v>
      </c>
      <c r="E6">
        <v>9.741778943975313E-4</v>
      </c>
      <c r="F6">
        <v>5.0211288902141343E-4</v>
      </c>
      <c r="G6">
        <v>-3.1552768476529776E-4</v>
      </c>
      <c r="H6">
        <v>-1.2596576955175337E-3</v>
      </c>
      <c r="I6">
        <v>-2.0772982693042451E-3</v>
      </c>
      <c r="J6">
        <v>-2.5493632746803629E-3</v>
      </c>
      <c r="K6">
        <v>-2.5493632746803633E-3</v>
      </c>
      <c r="L6">
        <v>-2.077298269304246E-3</v>
      </c>
      <c r="M6">
        <v>-1.2596576955175352E-3</v>
      </c>
      <c r="N6">
        <v>-3.1552768476529901E-4</v>
      </c>
      <c r="O6">
        <v>5.02112889021413E-4</v>
      </c>
      <c r="P6">
        <v>9.7417789439753087E-4</v>
      </c>
    </row>
    <row r="7" spans="1:16" x14ac:dyDescent="0.25">
      <c r="A7" s="10">
        <f t="shared" ref="A7:A8" si="0">A6+0.25</f>
        <v>0.75</v>
      </c>
      <c r="B7" s="5">
        <f>(UserInput!$B$2-UserInput!$B$5-UserInput!$B$19/2)*(-C7/(D7-C7))</f>
        <v>25.239886363636362</v>
      </c>
      <c r="C7">
        <f>-UserInput!$B$11</f>
        <v>-3.0000000000000001E-3</v>
      </c>
      <c r="D7">
        <f>A7*UserInput!$B$17/UserInput!$B$18</f>
        <v>1.5517241379310344E-3</v>
      </c>
      <c r="E7">
        <v>1.4836878808587542E-3</v>
      </c>
      <c r="F7">
        <v>9.5110172094723647E-4</v>
      </c>
      <c r="G7">
        <v>2.8635432572485115E-5</v>
      </c>
      <c r="H7">
        <v>-1.0365368872505506E-3</v>
      </c>
      <c r="I7">
        <v>-1.9590031756253025E-3</v>
      </c>
      <c r="J7">
        <v>-2.4915893355368199E-3</v>
      </c>
      <c r="K7">
        <v>-2.4915893355368203E-3</v>
      </c>
      <c r="L7">
        <v>-1.9590031756253033E-3</v>
      </c>
      <c r="M7">
        <v>-1.0365368872505523E-3</v>
      </c>
      <c r="N7">
        <v>2.8635432572483743E-5</v>
      </c>
      <c r="O7">
        <v>9.5110172094723603E-4</v>
      </c>
      <c r="P7">
        <v>1.4836878808587538E-3</v>
      </c>
    </row>
    <row r="8" spans="1:16" x14ac:dyDescent="0.25">
      <c r="A8" s="9">
        <f t="shared" si="0"/>
        <v>1</v>
      </c>
      <c r="B8" s="5">
        <f>(UserInput!$B$2-UserInput!$B$5-UserInput!$B$19/2)*(-C8/(D8-C8))</f>
        <v>22.664387755102041</v>
      </c>
      <c r="C8">
        <f>-UserInput!$B$11</f>
        <v>-3.0000000000000001E-3</v>
      </c>
      <c r="D8">
        <f>A8*UserInput!$B$17/UserInput!$B$18</f>
        <v>2.0689655172413794E-3</v>
      </c>
      <c r="E8">
        <v>1.9931978673199762E-3</v>
      </c>
      <c r="F8">
        <v>1.4000905528730586E-3</v>
      </c>
      <c r="G8">
        <v>3.7279854991026731E-4</v>
      </c>
      <c r="H8">
        <v>-8.1341607898356781E-4</v>
      </c>
      <c r="I8">
        <v>-1.8407080819463596E-3</v>
      </c>
      <c r="J8">
        <v>-2.4338153963932769E-3</v>
      </c>
      <c r="K8">
        <v>-2.4338153963932773E-3</v>
      </c>
      <c r="L8">
        <v>-1.8407080819463604E-3</v>
      </c>
      <c r="M8">
        <v>-8.1341607898356987E-4</v>
      </c>
      <c r="N8">
        <v>3.7279854991026579E-4</v>
      </c>
      <c r="O8">
        <v>1.400090552873058E-3</v>
      </c>
      <c r="P8">
        <v>1.9931978673199753E-3</v>
      </c>
    </row>
    <row r="9" spans="1:16" x14ac:dyDescent="0.25">
      <c r="A9" s="9">
        <f>A8+1</f>
        <v>2</v>
      </c>
      <c r="B9" s="5">
        <f>(UserInput!$B$2-UserInput!$B$5-UserInput!$B$19/2)*(-C9/(D9-C9))</f>
        <v>16.094999999999999</v>
      </c>
      <c r="C9">
        <f>-UserInput!$B$11</f>
        <v>-3.0000000000000001E-3</v>
      </c>
      <c r="D9">
        <f>A9*UserInput!$B$17/UserInput!$B$18</f>
        <v>4.1379310344827587E-3</v>
      </c>
      <c r="E9">
        <v>4.0312378131648645E-3</v>
      </c>
      <c r="F9">
        <v>3.1960458805763477E-3</v>
      </c>
      <c r="G9">
        <v>1.7494510192613971E-3</v>
      </c>
      <c r="H9">
        <v>7.9067154084363928E-5</v>
      </c>
      <c r="I9">
        <v>-1.3675277072305876E-3</v>
      </c>
      <c r="J9">
        <v>-2.2027196398191036E-3</v>
      </c>
      <c r="K9">
        <v>-2.2027196398191045E-3</v>
      </c>
      <c r="L9">
        <v>-1.3675277072305889E-3</v>
      </c>
      <c r="M9">
        <v>7.9067154084361109E-5</v>
      </c>
      <c r="N9">
        <v>1.7494510192613947E-3</v>
      </c>
      <c r="O9">
        <v>3.1960458805763477E-3</v>
      </c>
      <c r="P9">
        <v>4.0312378131648636E-3</v>
      </c>
    </row>
    <row r="10" spans="1:16" x14ac:dyDescent="0.25">
      <c r="A10" s="9">
        <f>A9+1</f>
        <v>3</v>
      </c>
      <c r="B10" s="5">
        <f>(UserInput!$B$2-UserInput!$B$5-UserInput!$B$19/2)*(-C10/(D10-C10))</f>
        <v>12.478146067415732</v>
      </c>
      <c r="C10">
        <f>-UserInput!$B$11</f>
        <v>-3.0000000000000001E-3</v>
      </c>
      <c r="D10">
        <f>A10*UserInput!$B$17/UserInput!$B$18</f>
        <v>6.2068965517241377E-3</v>
      </c>
      <c r="E10">
        <v>6.0692777590097514E-3</v>
      </c>
      <c r="F10">
        <v>4.992001208279636E-3</v>
      </c>
      <c r="G10">
        <v>3.1261034886125257E-3</v>
      </c>
      <c r="H10">
        <v>9.7155038715229466E-4</v>
      </c>
      <c r="I10">
        <v>-8.9434733251481644E-4</v>
      </c>
      <c r="J10">
        <v>-1.9716238832449312E-3</v>
      </c>
      <c r="K10">
        <v>-1.9716238832449321E-3</v>
      </c>
      <c r="L10">
        <v>-8.9434733251481818E-4</v>
      </c>
      <c r="M10">
        <v>9.7155038715229097E-4</v>
      </c>
      <c r="N10">
        <v>3.1261034886125227E-3</v>
      </c>
      <c r="O10">
        <v>4.9920012082796342E-3</v>
      </c>
      <c r="P10">
        <v>6.0692777590097505E-3</v>
      </c>
    </row>
    <row r="11" spans="1:16" x14ac:dyDescent="0.25">
      <c r="A11" s="9">
        <f>A10+1</f>
        <v>4</v>
      </c>
      <c r="B11" s="5">
        <f>(UserInput!$B$2-UserInput!$B$5-UserInput!$B$19/2)*(-C11/(D11-C11))</f>
        <v>10.188577981651376</v>
      </c>
      <c r="C11">
        <f>-UserInput!$B$11</f>
        <v>-3.0000000000000001E-3</v>
      </c>
      <c r="D11">
        <f>A11*UserInput!$B$17/UserInput!$B$18</f>
        <v>8.2758620689655175E-3</v>
      </c>
      <c r="E11">
        <v>8.107317704854641E-3</v>
      </c>
      <c r="F11">
        <v>6.7879565359829259E-3</v>
      </c>
      <c r="G11">
        <v>4.5027559579636561E-3</v>
      </c>
      <c r="H11">
        <v>1.8640336202202269E-3</v>
      </c>
      <c r="I11">
        <v>-4.2116695779904434E-4</v>
      </c>
      <c r="J11">
        <v>-1.7405281266707582E-3</v>
      </c>
      <c r="K11">
        <v>-1.7405281266707593E-3</v>
      </c>
      <c r="L11">
        <v>-4.211669577990464E-4</v>
      </c>
      <c r="M11">
        <v>1.8640336202202224E-3</v>
      </c>
      <c r="N11">
        <v>4.5027559579636526E-3</v>
      </c>
      <c r="O11">
        <v>6.7879565359829251E-3</v>
      </c>
      <c r="P11">
        <v>8.1073177048546392E-3</v>
      </c>
    </row>
    <row r="12" spans="1:16" x14ac:dyDescent="0.25">
      <c r="A12" s="9">
        <f>A11+2</f>
        <v>6</v>
      </c>
      <c r="B12" s="5">
        <f>(UserInput!$B$2-UserInput!$B$5-UserInput!$B$19/2)*(-C12/(D12-C12))</f>
        <v>7.4533892617449666</v>
      </c>
      <c r="C12">
        <f>-UserInput!$B$11</f>
        <v>-3.0000000000000001E-3</v>
      </c>
      <c r="D12">
        <f>A12*UserInput!$B$17/UserInput!$B$18</f>
        <v>1.2413793103448275E-2</v>
      </c>
      <c r="E12">
        <v>1.2183397596544417E-2</v>
      </c>
      <c r="F12">
        <v>1.0379867191389504E-2</v>
      </c>
      <c r="G12">
        <v>7.2560608966659151E-3</v>
      </c>
      <c r="H12">
        <v>3.6490000863560897E-3</v>
      </c>
      <c r="I12">
        <v>5.2519379163249878E-4</v>
      </c>
      <c r="J12">
        <v>-1.2783366135224127E-3</v>
      </c>
      <c r="K12">
        <v>-1.2783366135224142E-3</v>
      </c>
      <c r="L12">
        <v>5.2519379163249596E-4</v>
      </c>
      <c r="M12">
        <v>3.6490000863560841E-3</v>
      </c>
      <c r="N12">
        <v>7.2560608966659099E-3</v>
      </c>
      <c r="O12">
        <v>1.0379867191389504E-2</v>
      </c>
      <c r="P12">
        <v>1.2183397596544415E-2</v>
      </c>
    </row>
    <row r="13" spans="1:16" x14ac:dyDescent="0.25">
      <c r="A13" s="9">
        <f t="shared" ref="A13:A14" si="1">A12+2</f>
        <v>8</v>
      </c>
      <c r="B13" s="5">
        <f>(UserInput!$B$2-UserInput!$B$5-UserInput!$B$19/2)*(-C13/(D13-C13))</f>
        <v>5.8759523809523824</v>
      </c>
      <c r="C13">
        <f>-UserInput!$B$11</f>
        <v>-3.0000000000000001E-3</v>
      </c>
      <c r="D13">
        <f>A13*UserInput!$B$17/UserInput!$B$18</f>
        <v>1.6551724137931035E-2</v>
      </c>
      <c r="E13">
        <v>1.6259477488234191E-2</v>
      </c>
      <c r="F13">
        <v>1.3971777846796081E-2</v>
      </c>
      <c r="G13">
        <v>1.0009365835368171E-2</v>
      </c>
      <c r="H13">
        <v>5.4339665524919516E-3</v>
      </c>
      <c r="I13">
        <v>1.4715545410640414E-3</v>
      </c>
      <c r="J13">
        <v>-8.1614510037406767E-4</v>
      </c>
      <c r="K13">
        <v>-8.1614510037406952E-4</v>
      </c>
      <c r="L13">
        <v>1.4715545410640377E-3</v>
      </c>
      <c r="M13">
        <v>5.433966552491943E-3</v>
      </c>
      <c r="N13">
        <v>1.0009365835368166E-2</v>
      </c>
      <c r="O13">
        <v>1.3971777846796079E-2</v>
      </c>
      <c r="P13">
        <v>1.6259477488234187E-2</v>
      </c>
    </row>
    <row r="14" spans="1:16" x14ac:dyDescent="0.25">
      <c r="A14" s="9">
        <f t="shared" si="1"/>
        <v>10</v>
      </c>
      <c r="B14" s="5">
        <f>(UserInput!$B$2-UserInput!$B$5-UserInput!$B$19/2)*(-C14/(D14-C14))</f>
        <v>4.8495851528384293</v>
      </c>
      <c r="C14">
        <f>-UserInput!$B$11</f>
        <v>-3.0000000000000001E-3</v>
      </c>
      <c r="D14">
        <f>A14*UserInput!$B$17/UserInput!$B$18</f>
        <v>2.0689655172413793E-2</v>
      </c>
      <c r="E14">
        <v>2.0335557379923964E-2</v>
      </c>
      <c r="F14">
        <v>1.7563688502202659E-2</v>
      </c>
      <c r="G14">
        <v>1.2762670774070431E-2</v>
      </c>
      <c r="H14">
        <v>7.218933018627814E-3</v>
      </c>
      <c r="I14">
        <v>2.4179152904955843E-3</v>
      </c>
      <c r="J14">
        <v>-3.5395358722572221E-4</v>
      </c>
      <c r="K14">
        <v>-3.5395358722572443E-4</v>
      </c>
      <c r="L14">
        <v>2.4179152904955799E-3</v>
      </c>
      <c r="M14">
        <v>7.2189330186278053E-3</v>
      </c>
      <c r="N14">
        <v>1.2762670774070423E-2</v>
      </c>
      <c r="O14">
        <v>1.7563688502202659E-2</v>
      </c>
      <c r="P14">
        <v>2.0335557379923964E-2</v>
      </c>
    </row>
    <row r="15" spans="1:16" x14ac:dyDescent="0.25">
      <c r="A15" t="s">
        <v>47</v>
      </c>
      <c r="B15" t="s">
        <v>23</v>
      </c>
      <c r="C15">
        <f>-UserInput!$B$11</f>
        <v>-3.0000000000000001E-3</v>
      </c>
      <c r="D15">
        <f>UserInput!$B$17/UserInput!$B$18</f>
        <v>2.0689655172413794E-3</v>
      </c>
      <c r="E15">
        <v>2.0689655172413794E-3</v>
      </c>
      <c r="F15">
        <v>2.0689655172413794E-3</v>
      </c>
      <c r="G15">
        <v>2.0689655172413794E-3</v>
      </c>
      <c r="H15">
        <v>2.0689655172413794E-3</v>
      </c>
      <c r="I15">
        <v>2.0689655172413794E-3</v>
      </c>
      <c r="J15">
        <v>2.0689655172413794E-3</v>
      </c>
      <c r="K15">
        <v>2.0689655172413794E-3</v>
      </c>
      <c r="L15">
        <v>2.0689655172413794E-3</v>
      </c>
      <c r="M15">
        <v>2.0689655172413794E-3</v>
      </c>
      <c r="N15">
        <v>2.0689655172413794E-3</v>
      </c>
      <c r="O15">
        <v>2.0689655172413794E-3</v>
      </c>
      <c r="P15">
        <v>2.0689655172413794E-3</v>
      </c>
    </row>
    <row r="17" spans="1:16" x14ac:dyDescent="0.25">
      <c r="A17" s="4" t="s">
        <v>27</v>
      </c>
      <c r="E17" t="s">
        <v>26</v>
      </c>
    </row>
    <row r="18" spans="1:16" x14ac:dyDescent="0.25">
      <c r="A18" t="s">
        <v>18</v>
      </c>
      <c r="B18" t="s">
        <v>19</v>
      </c>
      <c r="C18" t="s">
        <v>24</v>
      </c>
      <c r="D18" t="s">
        <v>25</v>
      </c>
      <c r="E18">
        <v>1</v>
      </c>
      <c r="F18">
        <v>2</v>
      </c>
      <c r="G18">
        <v>3</v>
      </c>
      <c r="H18">
        <v>4</v>
      </c>
      <c r="I18">
        <v>5</v>
      </c>
      <c r="J18">
        <v>6</v>
      </c>
      <c r="K18">
        <v>7</v>
      </c>
      <c r="L18">
        <v>8</v>
      </c>
      <c r="M18">
        <v>9</v>
      </c>
      <c r="N18">
        <v>10</v>
      </c>
      <c r="O18">
        <v>11</v>
      </c>
      <c r="P18">
        <v>12</v>
      </c>
    </row>
    <row r="19" spans="1:16" x14ac:dyDescent="0.25">
      <c r="A19">
        <v>1</v>
      </c>
      <c r="B19" t="s">
        <v>23</v>
      </c>
      <c r="C19">
        <f>0.85*UserInput!$B$10/1000</f>
        <v>2.5499999999999998</v>
      </c>
      <c r="D19">
        <f>IF(D3&lt;-UserInput!$B$17/UserInput!$B$18,-60,IF(D3&gt;UserInput!$B$17/UserInput!$B$18,60,Calculations!D3*UserInput!$B$18))</f>
        <v>-60</v>
      </c>
      <c r="E19">
        <f>IF(E3&lt;-UserInput!$B$17/UserInput!$B$18,-60,IF(E3&gt;UserInput!$B$17/UserInput!$B$18,60,Calculations!E3*UserInput!$B$18))</f>
        <v>-60</v>
      </c>
      <c r="F19">
        <f>IF(F3&lt;-UserInput!$B$17/UserInput!$B$18,-60,IF(F3&gt;UserInput!$B$17/UserInput!$B$18,60,Calculations!F3*UserInput!$B$18))</f>
        <v>-60</v>
      </c>
      <c r="G19">
        <f>IF(G3&lt;-UserInput!$B$17/UserInput!$B$18,-60,IF(G3&gt;UserInput!$B$17/UserInput!$B$18,60,Calculations!G3*UserInput!$B$18))</f>
        <v>-60</v>
      </c>
      <c r="H19">
        <f>IF(H3&lt;-UserInput!$B$17/UserInput!$B$18,-60,IF(H3&gt;UserInput!$B$17/UserInput!$B$18,60,Calculations!H3*UserInput!$B$18))</f>
        <v>-60</v>
      </c>
      <c r="I19">
        <f>IF(I3&lt;-UserInput!$B$17/UserInput!$B$18,-60,IF(I3&gt;UserInput!$B$17/UserInput!$B$18,60,Calculations!I3*UserInput!$B$18))</f>
        <v>-60</v>
      </c>
      <c r="J19">
        <f>IF(J3&lt;-UserInput!$B$17/UserInput!$B$18,-60,IF(J3&gt;UserInput!$B$17/UserInput!$B$18,60,Calculations!J3*UserInput!$B$18))</f>
        <v>-60</v>
      </c>
      <c r="K19">
        <f>IF(K3&lt;-UserInput!$B$17/UserInput!$B$18,-60,IF(K3&gt;UserInput!$B$17/UserInput!$B$18,60,Calculations!K3*UserInput!$B$18))</f>
        <v>-60</v>
      </c>
      <c r="L19">
        <f>IF(L3&lt;-UserInput!$B$17/UserInput!$B$18,-60,IF(L3&gt;UserInput!$B$17/UserInput!$B$18,60,Calculations!L3*UserInput!$B$18))</f>
        <v>-60</v>
      </c>
      <c r="M19">
        <f>IF(M3&lt;-UserInput!$B$17/UserInput!$B$18,-60,IF(M3&gt;UserInput!$B$17/UserInput!$B$18,60,Calculations!M3*UserInput!$B$18))</f>
        <v>-60</v>
      </c>
      <c r="N19">
        <f>IF(N3&lt;-UserInput!$B$17/UserInput!$B$18,-60,IF(N3&gt;UserInput!$B$17/UserInput!$B$18,60,Calculations!N3*UserInput!$B$18))</f>
        <v>-60</v>
      </c>
      <c r="O19">
        <f>IF(O3&lt;-UserInput!$B$17/UserInput!$B$18,-60,IF(O3&gt;UserInput!$B$17/UserInput!$B$18,60,Calculations!O3*UserInput!$B$18))</f>
        <v>-60</v>
      </c>
      <c r="P19">
        <f>IF(P3&lt;-UserInput!$B$17/UserInput!$B$18,-60,IF(P3&gt;UserInput!$B$17/UserInput!$B$18,60,Calculations!P3*UserInput!$B$18))</f>
        <v>-60</v>
      </c>
    </row>
    <row r="20" spans="1:16" x14ac:dyDescent="0.25">
      <c r="A20">
        <f>A19+1</f>
        <v>2</v>
      </c>
      <c r="B20" s="5">
        <f t="shared" ref="B20:B31" si="2">B4</f>
        <v>38.295000000000002</v>
      </c>
      <c r="C20">
        <f>0.85*UserInput!$B$10/1000</f>
        <v>2.5499999999999998</v>
      </c>
      <c r="D20">
        <f>IF(D4&lt;-UserInput!$B$17/UserInput!$B$18,-60,IF(D4&gt;UserInput!$B$17/UserInput!$B$18,60,Calculations!D4*UserInput!$B$18))</f>
        <v>0</v>
      </c>
      <c r="E20">
        <f>IF(E4&lt;-UserInput!$B$17/UserInput!$B$18,-60,IF(E4&gt;UserInput!$B$17/UserInput!$B$18,60,Calculations!E4*UserInput!$B$18))</f>
        <v>-1.3004202772224578</v>
      </c>
      <c r="F20">
        <f>IF(F4&lt;-UserInput!$B$17/UserInput!$B$18,-60,IF(F4&gt;UserInput!$B$17/UserInput!$B$18,60,Calculations!F4*UserInput!$B$18))</f>
        <v>-11.480078470076693</v>
      </c>
      <c r="G20">
        <f>IF(G4&lt;-UserInput!$B$17/UserInput!$B$18,-60,IF(G4&gt;UserInput!$B$17/UserInput!$B$18,60,Calculations!G4*UserInput!$B$18))</f>
        <v>-29.111763663785005</v>
      </c>
      <c r="H20">
        <f>IF(H4&lt;-UserInput!$B$17/UserInput!$B$18,-60,IF(H4&gt;UserInput!$B$17/UserInput!$B$18,60,Calculations!H4*UserInput!$B$18))</f>
        <v>-49.47108004949348</v>
      </c>
      <c r="I20">
        <f>IF(I4&lt;-UserInput!$B$17/UserInput!$B$18,-60,IF(I4&gt;UserInput!$B$17/UserInput!$B$18,60,Calculations!I4*UserInput!$B$18))</f>
        <v>-60</v>
      </c>
      <c r="J20">
        <f>IF(J4&lt;-UserInput!$B$17/UserInput!$B$18,-60,IF(J4&gt;UserInput!$B$17/UserInput!$B$18,60,Calculations!J4*UserInput!$B$18))</f>
        <v>-60</v>
      </c>
      <c r="K20">
        <f>IF(K4&lt;-UserInput!$B$17/UserInput!$B$18,-60,IF(K4&gt;UserInput!$B$17/UserInput!$B$18,60,Calculations!K4*UserInput!$B$18))</f>
        <v>-60</v>
      </c>
      <c r="L20">
        <f>IF(L4&lt;-UserInput!$B$17/UserInput!$B$18,-60,IF(L4&gt;UserInput!$B$17/UserInput!$B$18,60,Calculations!L4*UserInput!$B$18))</f>
        <v>-60</v>
      </c>
      <c r="M20">
        <f>IF(M4&lt;-UserInput!$B$17/UserInput!$B$18,-60,IF(M4&gt;UserInput!$B$17/UserInput!$B$18,60,Calculations!M4*UserInput!$B$18))</f>
        <v>-49.471080049493509</v>
      </c>
      <c r="N20">
        <f>IF(N4&lt;-UserInput!$B$17/UserInput!$B$18,-60,IF(N4&gt;UserInput!$B$17/UserInput!$B$18,60,Calculations!N4*UserInput!$B$18))</f>
        <v>-29.11176366378503</v>
      </c>
      <c r="O20">
        <f>IF(O4&lt;-UserInput!$B$17/UserInput!$B$18,-60,IF(O4&gt;UserInput!$B$17/UserInput!$B$18,60,Calculations!O4*UserInput!$B$18))</f>
        <v>-11.480078470076702</v>
      </c>
      <c r="P20">
        <f>IF(P4&lt;-UserInput!$B$17/UserInput!$B$18,-60,IF(P4&gt;UserInput!$B$17/UserInput!$B$18,60,Calculations!P4*UserInput!$B$18))</f>
        <v>-1.300420277222466</v>
      </c>
    </row>
    <row r="21" spans="1:16" x14ac:dyDescent="0.25">
      <c r="A21">
        <f t="shared" ref="A21:A31" si="3">A20+1</f>
        <v>3</v>
      </c>
      <c r="B21" s="5">
        <f t="shared" si="2"/>
        <v>32.663382352941184</v>
      </c>
      <c r="C21">
        <f>0.85*UserInput!$B$10/1000</f>
        <v>2.5499999999999998</v>
      </c>
      <c r="D21">
        <f>IF(D5&lt;-UserInput!$B$17/UserInput!$B$18,-60,IF(D5&gt;UserInput!$B$17/UserInput!$B$18,60,Calculations!D5*UserInput!$B$18))</f>
        <v>15</v>
      </c>
      <c r="E21">
        <f>IF(E5&lt;-UserInput!$B$17/UserInput!$B$18,-60,IF(E5&gt;UserInput!$B$17/UserInput!$B$18,60,Calculations!E5*UserInput!$B$18))</f>
        <v>13.47536933015296</v>
      </c>
      <c r="F21">
        <f>IF(F5&lt;-UserInput!$B$17/UserInput!$B$18,-60,IF(F5&gt;UserInput!$B$17/UserInput!$B$18,60,Calculations!F5*UserInput!$B$18))</f>
        <v>1.5405976557721353</v>
      </c>
      <c r="G21">
        <f>IF(G5&lt;-UserInput!$B$17/UserInput!$B$18,-60,IF(G5&gt;UserInput!$B$17/UserInput!$B$18,60,Calculations!G5*UserInput!$B$18))</f>
        <v>-19.13103326098933</v>
      </c>
      <c r="H21">
        <f>IF(H5&lt;-UserInput!$B$17/UserInput!$B$18,-60,IF(H5&gt;UserInput!$B$17/UserInput!$B$18,60,Calculations!H5*UserInput!$B$18))</f>
        <v>-43.000576609750979</v>
      </c>
      <c r="I21">
        <f>IF(I5&lt;-UserInput!$B$17/UserInput!$B$18,-60,IF(I5&gt;UserInput!$B$17/UserInput!$B$18,60,Calculations!I5*UserInput!$B$18))</f>
        <v>-60</v>
      </c>
      <c r="J21">
        <f>IF(J5&lt;-UserInput!$B$17/UserInput!$B$18,-60,IF(J5&gt;UserInput!$B$17/UserInput!$B$18,60,Calculations!J5*UserInput!$B$18))</f>
        <v>-60</v>
      </c>
      <c r="K21">
        <f>IF(K5&lt;-UserInput!$B$17/UserInput!$B$18,-60,IF(K5&gt;UserInput!$B$17/UserInput!$B$18,60,Calculations!K5*UserInput!$B$18))</f>
        <v>-60</v>
      </c>
      <c r="L21">
        <f>IF(L5&lt;-UserInput!$B$17/UserInput!$B$18,-60,IF(L5&gt;UserInput!$B$17/UserInput!$B$18,60,Calculations!L5*UserInput!$B$18))</f>
        <v>-60</v>
      </c>
      <c r="M21">
        <f>IF(M5&lt;-UserInput!$B$17/UserInput!$B$18,-60,IF(M5&gt;UserInput!$B$17/UserInput!$B$18,60,Calculations!M5*UserInput!$B$18))</f>
        <v>-43.000576609751022</v>
      </c>
      <c r="N21">
        <f>IF(N5&lt;-UserInput!$B$17/UserInput!$B$18,-60,IF(N5&gt;UserInput!$B$17/UserInput!$B$18,60,Calculations!N5*UserInput!$B$18))</f>
        <v>-19.131033260989359</v>
      </c>
      <c r="O21">
        <f>IF(O5&lt;-UserInput!$B$17/UserInput!$B$18,-60,IF(O5&gt;UserInput!$B$17/UserInput!$B$18,60,Calculations!O5*UserInput!$B$18))</f>
        <v>1.5405976557721259</v>
      </c>
      <c r="P21">
        <f>IF(P5&lt;-UserInput!$B$17/UserInput!$B$18,-60,IF(P5&gt;UserInput!$B$17/UserInput!$B$18,60,Calculations!P5*UserInput!$B$18))</f>
        <v>13.475369330152951</v>
      </c>
    </row>
    <row r="22" spans="1:16" x14ac:dyDescent="0.25">
      <c r="A22">
        <f t="shared" si="3"/>
        <v>4</v>
      </c>
      <c r="B22" s="5">
        <f t="shared" si="2"/>
        <v>28.475769230769234</v>
      </c>
      <c r="C22">
        <f>0.85*UserInput!$B$10/1000</f>
        <v>2.5499999999999998</v>
      </c>
      <c r="D22">
        <f>IF(D6&lt;-UserInput!$B$17/UserInput!$B$18,-60,IF(D6&gt;UserInput!$B$17/UserInput!$B$18,60,Calculations!D6*UserInput!$B$18))</f>
        <v>30</v>
      </c>
      <c r="E22">
        <f>IF(E6&lt;-UserInput!$B$17/UserInput!$B$18,-60,IF(E6&gt;UserInput!$B$17/UserInput!$B$18,60,Calculations!E6*UserInput!$B$18))</f>
        <v>28.251158937528409</v>
      </c>
      <c r="F22">
        <f>IF(F6&lt;-UserInput!$B$17/UserInput!$B$18,-60,IF(F6&gt;UserInput!$B$17/UserInput!$B$18,60,Calculations!F6*UserInput!$B$18))</f>
        <v>14.56127378162099</v>
      </c>
      <c r="G22">
        <f>IF(G6&lt;-UserInput!$B$17/UserInput!$B$18,-60,IF(G6&gt;UserInput!$B$17/UserInput!$B$18,60,Calculations!G6*UserInput!$B$18))</f>
        <v>-9.1503028581936352</v>
      </c>
      <c r="H22">
        <f>IF(H6&lt;-UserInput!$B$17/UserInput!$B$18,-60,IF(H6&gt;UserInput!$B$17/UserInput!$B$18,60,Calculations!H6*UserInput!$B$18))</f>
        <v>-36.530073170008478</v>
      </c>
      <c r="I22">
        <f>IF(I6&lt;-UserInput!$B$17/UserInput!$B$18,-60,IF(I6&gt;UserInput!$B$17/UserInput!$B$18,60,Calculations!I6*UserInput!$B$18))</f>
        <v>-60</v>
      </c>
      <c r="J22">
        <f>IF(J6&lt;-UserInput!$B$17/UserInput!$B$18,-60,IF(J6&gt;UserInput!$B$17/UserInput!$B$18,60,Calculations!J6*UserInput!$B$18))</f>
        <v>-60</v>
      </c>
      <c r="K22">
        <f>IF(K6&lt;-UserInput!$B$17/UserInput!$B$18,-60,IF(K6&gt;UserInput!$B$17/UserInput!$B$18,60,Calculations!K6*UserInput!$B$18))</f>
        <v>-60</v>
      </c>
      <c r="L22">
        <f>IF(L6&lt;-UserInput!$B$17/UserInput!$B$18,-60,IF(L6&gt;UserInput!$B$17/UserInput!$B$18,60,Calculations!L6*UserInput!$B$18))</f>
        <v>-60</v>
      </c>
      <c r="M22">
        <f>IF(M6&lt;-UserInput!$B$17/UserInput!$B$18,-60,IF(M6&gt;UserInput!$B$17/UserInput!$B$18,60,Calculations!M6*UserInput!$B$18))</f>
        <v>-36.530073170008521</v>
      </c>
      <c r="N22">
        <f>IF(N6&lt;-UserInput!$B$17/UserInput!$B$18,-60,IF(N6&gt;UserInput!$B$17/UserInput!$B$18,60,Calculations!N6*UserInput!$B$18))</f>
        <v>-9.1503028581936707</v>
      </c>
      <c r="O22">
        <f>IF(O6&lt;-UserInput!$B$17/UserInput!$B$18,-60,IF(O6&gt;UserInput!$B$17/UserInput!$B$18,60,Calculations!O6*UserInput!$B$18))</f>
        <v>14.561273781620978</v>
      </c>
      <c r="P22">
        <f>IF(P6&lt;-UserInput!$B$17/UserInput!$B$18,-60,IF(P6&gt;UserInput!$B$17/UserInput!$B$18,60,Calculations!P6*UserInput!$B$18))</f>
        <v>28.251158937528395</v>
      </c>
    </row>
    <row r="23" spans="1:16" x14ac:dyDescent="0.25">
      <c r="A23">
        <f t="shared" si="3"/>
        <v>5</v>
      </c>
      <c r="B23" s="5">
        <f t="shared" si="2"/>
        <v>25.239886363636362</v>
      </c>
      <c r="C23">
        <f>0.85*UserInput!$B$10/1000</f>
        <v>2.5499999999999998</v>
      </c>
      <c r="D23">
        <f>IF(D7&lt;-UserInput!$B$17/UserInput!$B$18,-60,IF(D7&gt;UserInput!$B$17/UserInput!$B$18,60,Calculations!D7*UserInput!$B$18))</f>
        <v>45</v>
      </c>
      <c r="E23">
        <f>IF(E7&lt;-UserInput!$B$17/UserInput!$B$18,-60,IF(E7&gt;UserInput!$B$17/UserInput!$B$18,60,Calculations!E7*UserInput!$B$18))</f>
        <v>43.026948544903874</v>
      </c>
      <c r="F23">
        <f>IF(F7&lt;-UserInput!$B$17/UserInput!$B$18,-60,IF(F7&gt;UserInput!$B$17/UserInput!$B$18,60,Calculations!F7*UserInput!$B$18))</f>
        <v>27.581949907469859</v>
      </c>
      <c r="G23">
        <f>IF(G7&lt;-UserInput!$B$17/UserInput!$B$18,-60,IF(G7&gt;UserInput!$B$17/UserInput!$B$18,60,Calculations!G7*UserInput!$B$18))</f>
        <v>0.83042754460206836</v>
      </c>
      <c r="H23">
        <f>IF(H7&lt;-UserInput!$B$17/UserInput!$B$18,-60,IF(H7&gt;UserInput!$B$17/UserInput!$B$18,60,Calculations!H7*UserInput!$B$18))</f>
        <v>-30.059569730265967</v>
      </c>
      <c r="I23">
        <f>IF(I7&lt;-UserInput!$B$17/UserInput!$B$18,-60,IF(I7&gt;UserInput!$B$17/UserInput!$B$18,60,Calculations!I7*UserInput!$B$18))</f>
        <v>-56.811092093133773</v>
      </c>
      <c r="J23">
        <f>IF(J7&lt;-UserInput!$B$17/UserInput!$B$18,-60,IF(J7&gt;UserInput!$B$17/UserInput!$B$18,60,Calculations!J7*UserInput!$B$18))</f>
        <v>-60</v>
      </c>
      <c r="K23">
        <f>IF(K7&lt;-UserInput!$B$17/UserInput!$B$18,-60,IF(K7&gt;UserInput!$B$17/UserInput!$B$18,60,Calculations!K7*UserInput!$B$18))</f>
        <v>-60</v>
      </c>
      <c r="L23">
        <f>IF(L7&lt;-UserInput!$B$17/UserInput!$B$18,-60,IF(L7&gt;UserInput!$B$17/UserInput!$B$18,60,Calculations!L7*UserInput!$B$18))</f>
        <v>-56.811092093133794</v>
      </c>
      <c r="M23">
        <f>IF(M7&lt;-UserInput!$B$17/UserInput!$B$18,-60,IF(M7&gt;UserInput!$B$17/UserInput!$B$18,60,Calculations!M7*UserInput!$B$18))</f>
        <v>-30.059569730266016</v>
      </c>
      <c r="N23">
        <f>IF(N7&lt;-UserInput!$B$17/UserInput!$B$18,-60,IF(N7&gt;UserInput!$B$17/UserInput!$B$18,60,Calculations!N7*UserInput!$B$18))</f>
        <v>0.8304275446020285</v>
      </c>
      <c r="O23">
        <f>IF(O7&lt;-UserInput!$B$17/UserInput!$B$18,-60,IF(O7&gt;UserInput!$B$17/UserInput!$B$18,60,Calculations!O7*UserInput!$B$18))</f>
        <v>27.581949907469845</v>
      </c>
      <c r="P23">
        <f>IF(P7&lt;-UserInput!$B$17/UserInput!$B$18,-60,IF(P7&gt;UserInput!$B$17/UserInput!$B$18,60,Calculations!P7*UserInput!$B$18))</f>
        <v>43.02694854490386</v>
      </c>
    </row>
    <row r="24" spans="1:16" x14ac:dyDescent="0.25">
      <c r="A24">
        <f t="shared" si="3"/>
        <v>6</v>
      </c>
      <c r="B24" s="5">
        <f t="shared" si="2"/>
        <v>22.664387755102041</v>
      </c>
      <c r="C24">
        <f>0.85*UserInput!$B$10/1000</f>
        <v>2.5499999999999998</v>
      </c>
      <c r="D24">
        <f>IF(D8&lt;-UserInput!$B$17/UserInput!$B$18,-60,IF(D8&gt;UserInput!$B$17/UserInput!$B$18,60,Calculations!D8*UserInput!$B$18))</f>
        <v>60</v>
      </c>
      <c r="E24">
        <f>IF(E8&lt;-UserInput!$B$17/UserInput!$B$18,-60,IF(E8&gt;UserInput!$B$17/UserInput!$B$18,60,Calculations!E8*UserInput!$B$18))</f>
        <v>57.802738152279311</v>
      </c>
      <c r="F24">
        <f>IF(F8&lt;-UserInput!$B$17/UserInput!$B$18,-60,IF(F8&gt;UserInput!$B$17/UserInput!$B$18,60,Calculations!F8*UserInput!$B$18))</f>
        <v>40.6026260333187</v>
      </c>
      <c r="G24">
        <f>IF(G8&lt;-UserInput!$B$17/UserInput!$B$18,-60,IF(G8&gt;UserInput!$B$17/UserInput!$B$18,60,Calculations!G8*UserInput!$B$18))</f>
        <v>10.811157947397753</v>
      </c>
      <c r="H24">
        <f>IF(H8&lt;-UserInput!$B$17/UserInput!$B$18,-60,IF(H8&gt;UserInput!$B$17/UserInput!$B$18,60,Calculations!H8*UserInput!$B$18))</f>
        <v>-23.589066290523466</v>
      </c>
      <c r="I24">
        <f>IF(I8&lt;-UserInput!$B$17/UserInput!$B$18,-60,IF(I8&gt;UserInput!$B$17/UserInput!$B$18,60,Calculations!I8*UserInput!$B$18))</f>
        <v>-53.38053437644443</v>
      </c>
      <c r="J24">
        <f>IF(J8&lt;-UserInput!$B$17/UserInput!$B$18,-60,IF(J8&gt;UserInput!$B$17/UserInput!$B$18,60,Calculations!J8*UserInput!$B$18))</f>
        <v>-60</v>
      </c>
      <c r="K24">
        <f>IF(K8&lt;-UserInput!$B$17/UserInput!$B$18,-60,IF(K8&gt;UserInput!$B$17/UserInput!$B$18,60,Calculations!K8*UserInput!$B$18))</f>
        <v>-60</v>
      </c>
      <c r="L24">
        <f>IF(L8&lt;-UserInput!$B$17/UserInput!$B$18,-60,IF(L8&gt;UserInput!$B$17/UserInput!$B$18,60,Calculations!L8*UserInput!$B$18))</f>
        <v>-53.380534376444452</v>
      </c>
      <c r="M24">
        <f>IF(M8&lt;-UserInput!$B$17/UserInput!$B$18,-60,IF(M8&gt;UserInput!$B$17/UserInput!$B$18,60,Calculations!M8*UserInput!$B$18))</f>
        <v>-23.589066290523526</v>
      </c>
      <c r="N24">
        <f>IF(N8&lt;-UserInput!$B$17/UserInput!$B$18,-60,IF(N8&gt;UserInput!$B$17/UserInput!$B$18,60,Calculations!N8*UserInput!$B$18))</f>
        <v>10.811157947397708</v>
      </c>
      <c r="O24">
        <f>IF(O8&lt;-UserInput!$B$17/UserInput!$B$18,-60,IF(O8&gt;UserInput!$B$17/UserInput!$B$18,60,Calculations!O8*UserInput!$B$18))</f>
        <v>40.602626033318678</v>
      </c>
      <c r="P24">
        <f>IF(P8&lt;-UserInput!$B$17/UserInput!$B$18,-60,IF(P8&gt;UserInput!$B$17/UserInput!$B$18,60,Calculations!P8*UserInput!$B$18))</f>
        <v>57.802738152279282</v>
      </c>
    </row>
    <row r="25" spans="1:16" x14ac:dyDescent="0.25">
      <c r="A25">
        <f t="shared" si="3"/>
        <v>7</v>
      </c>
      <c r="B25" s="5">
        <f t="shared" si="2"/>
        <v>16.094999999999999</v>
      </c>
      <c r="C25">
        <f>0.85*UserInput!$B$10/1000</f>
        <v>2.5499999999999998</v>
      </c>
      <c r="D25">
        <f>IF(D9&lt;-UserInput!$B$17/UserInput!$B$18,-60,IF(D9&gt;UserInput!$B$17/UserInput!$B$18,60,Calculations!D9*UserInput!$B$18))</f>
        <v>60</v>
      </c>
      <c r="E25">
        <f>IF(E9&lt;-UserInput!$B$17/UserInput!$B$18,-60,IF(E9&gt;UserInput!$B$17/UserInput!$B$18,60,Calculations!E9*UserInput!$B$18))</f>
        <v>60</v>
      </c>
      <c r="F25">
        <f>IF(F9&lt;-UserInput!$B$17/UserInput!$B$18,-60,IF(F9&gt;UserInput!$B$17/UserInput!$B$18,60,Calculations!F9*UserInput!$B$18))</f>
        <v>60</v>
      </c>
      <c r="G25">
        <f>IF(G9&lt;-UserInput!$B$17/UserInput!$B$18,-60,IF(G9&gt;UserInput!$B$17/UserInput!$B$18,60,Calculations!G9*UserInput!$B$18))</f>
        <v>50.734079558580518</v>
      </c>
      <c r="H25">
        <f>IF(H9&lt;-UserInput!$B$17/UserInput!$B$18,-60,IF(H9&gt;UserInput!$B$17/UserInput!$B$18,60,Calculations!H9*UserInput!$B$18))</f>
        <v>2.2929474684465538</v>
      </c>
      <c r="I25">
        <f>IF(I9&lt;-UserInput!$B$17/UserInput!$B$18,-60,IF(I9&gt;UserInput!$B$17/UserInput!$B$18,60,Calculations!I9*UserInput!$B$18))</f>
        <v>-39.658303509687038</v>
      </c>
      <c r="J25">
        <f>IF(J9&lt;-UserInput!$B$17/UserInput!$B$18,-60,IF(J9&gt;UserInput!$B$17/UserInput!$B$18,60,Calculations!J9*UserInput!$B$18))</f>
        <v>-60</v>
      </c>
      <c r="K25">
        <f>IF(K9&lt;-UserInput!$B$17/UserInput!$B$18,-60,IF(K9&gt;UserInput!$B$17/UserInput!$B$18,60,Calculations!K9*UserInput!$B$18))</f>
        <v>-60</v>
      </c>
      <c r="L25">
        <f>IF(L9&lt;-UserInput!$B$17/UserInput!$B$18,-60,IF(L9&gt;UserInput!$B$17/UserInput!$B$18,60,Calculations!L9*UserInput!$B$18))</f>
        <v>-39.65830350968708</v>
      </c>
      <c r="M25">
        <f>IF(M9&lt;-UserInput!$B$17/UserInput!$B$18,-60,IF(M9&gt;UserInput!$B$17/UserInput!$B$18,60,Calculations!M9*UserInput!$B$18))</f>
        <v>2.2929474684464721</v>
      </c>
      <c r="N25">
        <f>IF(N9&lt;-UserInput!$B$17/UserInput!$B$18,-60,IF(N9&gt;UserInput!$B$17/UserInput!$B$18,60,Calculations!N9*UserInput!$B$18))</f>
        <v>50.734079558580447</v>
      </c>
      <c r="O25">
        <f>IF(O9&lt;-UserInput!$B$17/UserInput!$B$18,-60,IF(O9&gt;UserInput!$B$17/UserInput!$B$18,60,Calculations!O9*UserInput!$B$18))</f>
        <v>60</v>
      </c>
      <c r="P25">
        <f>IF(P9&lt;-UserInput!$B$17/UserInput!$B$18,-60,IF(P9&gt;UserInput!$B$17/UserInput!$B$18,60,Calculations!P9*UserInput!$B$18))</f>
        <v>60</v>
      </c>
    </row>
    <row r="26" spans="1:16" x14ac:dyDescent="0.25">
      <c r="A26">
        <f t="shared" si="3"/>
        <v>8</v>
      </c>
      <c r="B26" s="5">
        <f t="shared" si="2"/>
        <v>12.478146067415732</v>
      </c>
      <c r="C26">
        <f>0.85*UserInput!$B$10/1000</f>
        <v>2.5499999999999998</v>
      </c>
      <c r="D26">
        <f>IF(D10&lt;-UserInput!$B$17/UserInput!$B$18,-60,IF(D10&gt;UserInput!$B$17/UserInput!$B$18,60,Calculations!D10*UserInput!$B$18))</f>
        <v>60</v>
      </c>
      <c r="E26">
        <f>IF(E10&lt;-UserInput!$B$17/UserInput!$B$18,-60,IF(E10&gt;UserInput!$B$17/UserInput!$B$18,60,Calculations!E10*UserInput!$B$18))</f>
        <v>60</v>
      </c>
      <c r="F26">
        <f>IF(F10&lt;-UserInput!$B$17/UserInput!$B$18,-60,IF(F10&gt;UserInput!$B$17/UserInput!$B$18,60,Calculations!F10*UserInput!$B$18))</f>
        <v>60</v>
      </c>
      <c r="G26">
        <f>IF(G10&lt;-UserInput!$B$17/UserInput!$B$18,-60,IF(G10&gt;UserInput!$B$17/UserInput!$B$18,60,Calculations!G10*UserInput!$B$18))</f>
        <v>60</v>
      </c>
      <c r="H26">
        <f>IF(H10&lt;-UserInput!$B$17/UserInput!$B$18,-60,IF(H10&gt;UserInput!$B$17/UserInput!$B$18,60,Calculations!H10*UserInput!$B$18))</f>
        <v>28.174961227416546</v>
      </c>
      <c r="I26">
        <f>IF(I10&lt;-UserInput!$B$17/UserInput!$B$18,-60,IF(I10&gt;UserInput!$B$17/UserInput!$B$18,60,Calculations!I10*UserInput!$B$18))</f>
        <v>-25.936072642929677</v>
      </c>
      <c r="J26">
        <f>IF(J10&lt;-UserInput!$B$17/UserInput!$B$18,-60,IF(J10&gt;UserInput!$B$17/UserInput!$B$18,60,Calculations!J10*UserInput!$B$18))</f>
        <v>-57.177092614103003</v>
      </c>
      <c r="K26">
        <f>IF(K10&lt;-UserInput!$B$17/UserInput!$B$18,-60,IF(K10&gt;UserInput!$B$17/UserInput!$B$18,60,Calculations!K10*UserInput!$B$18))</f>
        <v>-57.177092614103032</v>
      </c>
      <c r="L26">
        <f>IF(L10&lt;-UserInput!$B$17/UserInput!$B$18,-60,IF(L10&gt;UserInput!$B$17/UserInput!$B$18,60,Calculations!L10*UserInput!$B$18))</f>
        <v>-25.936072642929727</v>
      </c>
      <c r="M26">
        <f>IF(M10&lt;-UserInput!$B$17/UserInput!$B$18,-60,IF(M10&gt;UserInput!$B$17/UserInput!$B$18,60,Calculations!M10*UserInput!$B$18))</f>
        <v>28.174961227416439</v>
      </c>
      <c r="N26">
        <f>IF(N10&lt;-UserInput!$B$17/UserInput!$B$18,-60,IF(N10&gt;UserInput!$B$17/UserInput!$B$18,60,Calculations!N10*UserInput!$B$18))</f>
        <v>60</v>
      </c>
      <c r="O26">
        <f>IF(O10&lt;-UserInput!$B$17/UserInput!$B$18,-60,IF(O10&gt;UserInput!$B$17/UserInput!$B$18,60,Calculations!O10*UserInput!$B$18))</f>
        <v>60</v>
      </c>
      <c r="P26">
        <f>IF(P10&lt;-UserInput!$B$17/UserInput!$B$18,-60,IF(P10&gt;UserInput!$B$17/UserInput!$B$18,60,Calculations!P10*UserInput!$B$18))</f>
        <v>60</v>
      </c>
    </row>
    <row r="27" spans="1:16" x14ac:dyDescent="0.25">
      <c r="A27">
        <f t="shared" si="3"/>
        <v>9</v>
      </c>
      <c r="B27" s="5">
        <f t="shared" si="2"/>
        <v>10.188577981651376</v>
      </c>
      <c r="C27">
        <f>0.85*UserInput!$B$10/1000</f>
        <v>2.5499999999999998</v>
      </c>
      <c r="D27">
        <f>IF(D11&lt;-UserInput!$B$17/UserInput!$B$18,-60,IF(D11&gt;UserInput!$B$17/UserInput!$B$18,60,Calculations!D11*UserInput!$B$18))</f>
        <v>60</v>
      </c>
      <c r="E27">
        <f>IF(E11&lt;-UserInput!$B$17/UserInput!$B$18,-60,IF(E11&gt;UserInput!$B$17/UserInput!$B$18,60,Calculations!E11*UserInput!$B$18))</f>
        <v>60</v>
      </c>
      <c r="F27">
        <f>IF(F11&lt;-UserInput!$B$17/UserInput!$B$18,-60,IF(F11&gt;UserInput!$B$17/UserInput!$B$18,60,Calculations!F11*UserInput!$B$18))</f>
        <v>60</v>
      </c>
      <c r="G27">
        <f>IF(G11&lt;-UserInput!$B$17/UserInput!$B$18,-60,IF(G11&gt;UserInput!$B$17/UserInput!$B$18,60,Calculations!G11*UserInput!$B$18))</f>
        <v>60</v>
      </c>
      <c r="H27">
        <f>IF(H11&lt;-UserInput!$B$17/UserInput!$B$18,-60,IF(H11&gt;UserInput!$B$17/UserInput!$B$18,60,Calculations!H11*UserInput!$B$18))</f>
        <v>54.056974986386578</v>
      </c>
      <c r="I27">
        <f>IF(I11&lt;-UserInput!$B$17/UserInput!$B$18,-60,IF(I11&gt;UserInput!$B$17/UserInput!$B$18,60,Calculations!I11*UserInput!$B$18))</f>
        <v>-12.213841776172286</v>
      </c>
      <c r="J27">
        <f>IF(J11&lt;-UserInput!$B$17/UserInput!$B$18,-60,IF(J11&gt;UserInput!$B$17/UserInput!$B$18,60,Calculations!J11*UserInput!$B$18))</f>
        <v>-50.475315673451988</v>
      </c>
      <c r="K27">
        <f>IF(K11&lt;-UserInput!$B$17/UserInput!$B$18,-60,IF(K11&gt;UserInput!$B$17/UserInput!$B$18,60,Calculations!K11*UserInput!$B$18))</f>
        <v>-50.475315673452016</v>
      </c>
      <c r="L27">
        <f>IF(L11&lt;-UserInput!$B$17/UserInput!$B$18,-60,IF(L11&gt;UserInput!$B$17/UserInput!$B$18,60,Calculations!L11*UserInput!$B$18))</f>
        <v>-12.213841776172346</v>
      </c>
      <c r="M27">
        <f>IF(M11&lt;-UserInput!$B$17/UserInput!$B$18,-60,IF(M11&gt;UserInput!$B$17/UserInput!$B$18,60,Calculations!M11*UserInput!$B$18))</f>
        <v>54.05697498638645</v>
      </c>
      <c r="N27">
        <f>IF(N11&lt;-UserInput!$B$17/UserInput!$B$18,-60,IF(N11&gt;UserInput!$B$17/UserInput!$B$18,60,Calculations!N11*UserInput!$B$18))</f>
        <v>60</v>
      </c>
      <c r="O27">
        <f>IF(O11&lt;-UserInput!$B$17/UserInput!$B$18,-60,IF(O11&gt;UserInput!$B$17/UserInput!$B$18,60,Calculations!O11*UserInput!$B$18))</f>
        <v>60</v>
      </c>
      <c r="P27">
        <f>IF(P11&lt;-UserInput!$B$17/UserInput!$B$18,-60,IF(P11&gt;UserInput!$B$17/UserInput!$B$18,60,Calculations!P11*UserInput!$B$18))</f>
        <v>60</v>
      </c>
    </row>
    <row r="28" spans="1:16" x14ac:dyDescent="0.25">
      <c r="A28">
        <f t="shared" si="3"/>
        <v>10</v>
      </c>
      <c r="B28" s="5">
        <f t="shared" si="2"/>
        <v>7.4533892617449666</v>
      </c>
      <c r="C28">
        <f>0.85*UserInput!$B$10/1000</f>
        <v>2.5499999999999998</v>
      </c>
      <c r="D28">
        <f>IF(D12&lt;-UserInput!$B$17/UserInput!$B$18,-60,IF(D12&gt;UserInput!$B$17/UserInput!$B$18,60,Calculations!D12*UserInput!$B$18))</f>
        <v>60</v>
      </c>
      <c r="E28">
        <f>IF(E12&lt;-UserInput!$B$17/UserInput!$B$18,-60,IF(E12&gt;UserInput!$B$17/UserInput!$B$18,60,Calculations!E12*UserInput!$B$18))</f>
        <v>60</v>
      </c>
      <c r="F28">
        <f>IF(F12&lt;-UserInput!$B$17/UserInput!$B$18,-60,IF(F12&gt;UserInput!$B$17/UserInput!$B$18,60,Calculations!F12*UserInput!$B$18))</f>
        <v>60</v>
      </c>
      <c r="G28">
        <f>IF(G12&lt;-UserInput!$B$17/UserInput!$B$18,-60,IF(G12&gt;UserInput!$B$17/UserInput!$B$18,60,Calculations!G12*UserInput!$B$18))</f>
        <v>60</v>
      </c>
      <c r="H28">
        <f>IF(H12&lt;-UserInput!$B$17/UserInput!$B$18,-60,IF(H12&gt;UserInput!$B$17/UserInput!$B$18,60,Calculations!H12*UserInput!$B$18))</f>
        <v>60</v>
      </c>
      <c r="I28">
        <f>IF(I12&lt;-UserInput!$B$17/UserInput!$B$18,-60,IF(I12&gt;UserInput!$B$17/UserInput!$B$18,60,Calculations!I12*UserInput!$B$18))</f>
        <v>15.230619957342464</v>
      </c>
      <c r="J28">
        <f>IF(J12&lt;-UserInput!$B$17/UserInput!$B$18,-60,IF(J12&gt;UserInput!$B$17/UserInput!$B$18,60,Calculations!J12*UserInput!$B$18))</f>
        <v>-37.071761792149971</v>
      </c>
      <c r="K28">
        <f>IF(K12&lt;-UserInput!$B$17/UserInput!$B$18,-60,IF(K12&gt;UserInput!$B$17/UserInput!$B$18,60,Calculations!K12*UserInput!$B$18))</f>
        <v>-37.071761792150014</v>
      </c>
      <c r="L28">
        <f>IF(L12&lt;-UserInput!$B$17/UserInput!$B$18,-60,IF(L12&gt;UserInput!$B$17/UserInput!$B$18,60,Calculations!L12*UserInput!$B$18))</f>
        <v>15.230619957342382</v>
      </c>
      <c r="M28">
        <f>IF(M12&lt;-UserInput!$B$17/UserInput!$B$18,-60,IF(M12&gt;UserInput!$B$17/UserInput!$B$18,60,Calculations!M12*UserInput!$B$18))</f>
        <v>60</v>
      </c>
      <c r="N28">
        <f>IF(N12&lt;-UserInput!$B$17/UserInput!$B$18,-60,IF(N12&gt;UserInput!$B$17/UserInput!$B$18,60,Calculations!N12*UserInput!$B$18))</f>
        <v>60</v>
      </c>
      <c r="O28">
        <f>IF(O12&lt;-UserInput!$B$17/UserInput!$B$18,-60,IF(O12&gt;UserInput!$B$17/UserInput!$B$18,60,Calculations!O12*UserInput!$B$18))</f>
        <v>60</v>
      </c>
      <c r="P28">
        <f>IF(P12&lt;-UserInput!$B$17/UserInput!$B$18,-60,IF(P12&gt;UserInput!$B$17/UserInput!$B$18,60,Calculations!P12*UserInput!$B$18))</f>
        <v>60</v>
      </c>
    </row>
    <row r="29" spans="1:16" x14ac:dyDescent="0.25">
      <c r="A29">
        <f t="shared" si="3"/>
        <v>11</v>
      </c>
      <c r="B29" s="5">
        <f t="shared" si="2"/>
        <v>5.8759523809523824</v>
      </c>
      <c r="C29">
        <f>0.85*UserInput!$B$10/1000</f>
        <v>2.5499999999999998</v>
      </c>
      <c r="D29">
        <f>IF(D13&lt;-UserInput!$B$17/UserInput!$B$18,-60,IF(D13&gt;UserInput!$B$17/UserInput!$B$18,60,Calculations!D13*UserInput!$B$18))</f>
        <v>60</v>
      </c>
      <c r="E29">
        <f>IF(E13&lt;-UserInput!$B$17/UserInput!$B$18,-60,IF(E13&gt;UserInput!$B$17/UserInput!$B$18,60,Calculations!E13*UserInput!$B$18))</f>
        <v>60</v>
      </c>
      <c r="F29">
        <f>IF(F13&lt;-UserInput!$B$17/UserInput!$B$18,-60,IF(F13&gt;UserInput!$B$17/UserInput!$B$18,60,Calculations!F13*UserInput!$B$18))</f>
        <v>60</v>
      </c>
      <c r="G29">
        <f>IF(G13&lt;-UserInput!$B$17/UserInput!$B$18,-60,IF(G13&gt;UserInput!$B$17/UserInput!$B$18,60,Calculations!G13*UserInput!$B$18))</f>
        <v>60</v>
      </c>
      <c r="H29">
        <f>IF(H13&lt;-UserInput!$B$17/UserInput!$B$18,-60,IF(H13&gt;UserInput!$B$17/UserInput!$B$18,60,Calculations!H13*UserInput!$B$18))</f>
        <v>60</v>
      </c>
      <c r="I29">
        <f>IF(I13&lt;-UserInput!$B$17/UserInput!$B$18,-60,IF(I13&gt;UserInput!$B$17/UserInput!$B$18,60,Calculations!I13*UserInput!$B$18))</f>
        <v>42.675081690857198</v>
      </c>
      <c r="J29">
        <f>IF(J13&lt;-UserInput!$B$17/UserInput!$B$18,-60,IF(J13&gt;UserInput!$B$17/UserInput!$B$18,60,Calculations!J13*UserInput!$B$18))</f>
        <v>-23.668207910847961</v>
      </c>
      <c r="K29">
        <f>IF(K13&lt;-UserInput!$B$17/UserInput!$B$18,-60,IF(K13&gt;UserInput!$B$17/UserInput!$B$18,60,Calculations!K13*UserInput!$B$18))</f>
        <v>-23.668207910848015</v>
      </c>
      <c r="L29">
        <f>IF(L13&lt;-UserInput!$B$17/UserInput!$B$18,-60,IF(L13&gt;UserInput!$B$17/UserInput!$B$18,60,Calculations!L13*UserInput!$B$18))</f>
        <v>42.675081690857091</v>
      </c>
      <c r="M29">
        <f>IF(M13&lt;-UserInput!$B$17/UserInput!$B$18,-60,IF(M13&gt;UserInput!$B$17/UserInput!$B$18,60,Calculations!M13*UserInput!$B$18))</f>
        <v>60</v>
      </c>
      <c r="N29">
        <f>IF(N13&lt;-UserInput!$B$17/UserInput!$B$18,-60,IF(N13&gt;UserInput!$B$17/UserInput!$B$18,60,Calculations!N13*UserInput!$B$18))</f>
        <v>60</v>
      </c>
      <c r="O29">
        <f>IF(O13&lt;-UserInput!$B$17/UserInput!$B$18,-60,IF(O13&gt;UserInput!$B$17/UserInput!$B$18,60,Calculations!O13*UserInput!$B$18))</f>
        <v>60</v>
      </c>
      <c r="P29">
        <f>IF(P13&lt;-UserInput!$B$17/UserInput!$B$18,-60,IF(P13&gt;UserInput!$B$17/UserInput!$B$18,60,Calculations!P13*UserInput!$B$18))</f>
        <v>60</v>
      </c>
    </row>
    <row r="30" spans="1:16" x14ac:dyDescent="0.25">
      <c r="A30">
        <f t="shared" si="3"/>
        <v>12</v>
      </c>
      <c r="B30" s="5">
        <f t="shared" si="2"/>
        <v>4.8495851528384293</v>
      </c>
      <c r="C30">
        <f>0.85*UserInput!$B$10/1000</f>
        <v>2.5499999999999998</v>
      </c>
      <c r="D30">
        <f>IF(D14&lt;-UserInput!$B$17/UserInput!$B$18,-60,IF(D14&gt;UserInput!$B$17/UserInput!$B$18,60,Calculations!D14*UserInput!$B$18))</f>
        <v>60</v>
      </c>
      <c r="E30">
        <f>IF(E14&lt;-UserInput!$B$17/UserInput!$B$18,-60,IF(E14&gt;UserInput!$B$17/UserInput!$B$18,60,Calculations!E14*UserInput!$B$18))</f>
        <v>60</v>
      </c>
      <c r="F30">
        <f>IF(F14&lt;-UserInput!$B$17/UserInput!$B$18,-60,IF(F14&gt;UserInput!$B$17/UserInput!$B$18,60,Calculations!F14*UserInput!$B$18))</f>
        <v>60</v>
      </c>
      <c r="G30">
        <f>IF(G14&lt;-UserInput!$B$17/UserInput!$B$18,-60,IF(G14&gt;UserInput!$B$17/UserInput!$B$18,60,Calculations!G14*UserInput!$B$18))</f>
        <v>60</v>
      </c>
      <c r="H30">
        <f>IF(H14&lt;-UserInput!$B$17/UserInput!$B$18,-60,IF(H14&gt;UserInput!$B$17/UserInput!$B$18,60,Calculations!H14*UserInput!$B$18))</f>
        <v>60</v>
      </c>
      <c r="I30">
        <f>IF(I14&lt;-UserInput!$B$17/UserInput!$B$18,-60,IF(I14&gt;UserInput!$B$17/UserInput!$B$18,60,Calculations!I14*UserInput!$B$18))</f>
        <v>60</v>
      </c>
      <c r="J30">
        <f>IF(J14&lt;-UserInput!$B$17/UserInput!$B$18,-60,IF(J14&gt;UserInput!$B$17/UserInput!$B$18,60,Calculations!J14*UserInput!$B$18))</f>
        <v>-10.264654029545945</v>
      </c>
      <c r="K30">
        <f>IF(K14&lt;-UserInput!$B$17/UserInput!$B$18,-60,IF(K14&gt;UserInput!$B$17/UserInput!$B$18,60,Calculations!K14*UserInput!$B$18))</f>
        <v>-10.264654029546008</v>
      </c>
      <c r="L30">
        <f>IF(L14&lt;-UserInput!$B$17/UserInput!$B$18,-60,IF(L14&gt;UserInput!$B$17/UserInput!$B$18,60,Calculations!L14*UserInput!$B$18))</f>
        <v>60</v>
      </c>
      <c r="M30">
        <f>IF(M14&lt;-UserInput!$B$17/UserInput!$B$18,-60,IF(M14&gt;UserInput!$B$17/UserInput!$B$18,60,Calculations!M14*UserInput!$B$18))</f>
        <v>60</v>
      </c>
      <c r="N30">
        <f>IF(N14&lt;-UserInput!$B$17/UserInput!$B$18,-60,IF(N14&gt;UserInput!$B$17/UserInput!$B$18,60,Calculations!N14*UserInput!$B$18))</f>
        <v>60</v>
      </c>
      <c r="O30">
        <f>IF(O14&lt;-UserInput!$B$17/UserInput!$B$18,-60,IF(O14&gt;UserInput!$B$17/UserInput!$B$18,60,Calculations!O14*UserInput!$B$18))</f>
        <v>60</v>
      </c>
      <c r="P30">
        <f>IF(P14&lt;-UserInput!$B$17/UserInput!$B$18,-60,IF(P14&gt;UserInput!$B$17/UserInput!$B$18,60,Calculations!P14*UserInput!$B$18))</f>
        <v>60</v>
      </c>
    </row>
    <row r="31" spans="1:16" x14ac:dyDescent="0.25">
      <c r="A31">
        <f t="shared" si="3"/>
        <v>13</v>
      </c>
      <c r="B31" s="5" t="str">
        <f t="shared" si="2"/>
        <v>N/A</v>
      </c>
      <c r="C31">
        <f>0.85*UserInput!$B$10/1000</f>
        <v>2.5499999999999998</v>
      </c>
      <c r="D31">
        <f>IF(D15&lt;-UserInput!$B$17/UserInput!$B$18,-60,IF(D15&gt;UserInput!$B$17/UserInput!$B$18,60,Calculations!D15*UserInput!$B$18))</f>
        <v>60</v>
      </c>
      <c r="E31">
        <f>IF(E15&lt;-UserInput!$B$17/UserInput!$B$18,-60,IF(E15&gt;UserInput!$B$17/UserInput!$B$18,60,Calculations!E15*UserInput!$B$18))</f>
        <v>60</v>
      </c>
      <c r="F31">
        <f>IF(F15&lt;-UserInput!$B$17/UserInput!$B$18,-60,IF(F15&gt;UserInput!$B$17/UserInput!$B$18,60,Calculations!F15*UserInput!$B$18))</f>
        <v>60</v>
      </c>
      <c r="G31">
        <f>IF(G15&lt;-UserInput!$B$17/UserInput!$B$18,-60,IF(G15&gt;UserInput!$B$17/UserInput!$B$18,60,Calculations!G15*UserInput!$B$18))</f>
        <v>60</v>
      </c>
      <c r="H31">
        <f>IF(H15&lt;-UserInput!$B$17/UserInput!$B$18,-60,IF(H15&gt;UserInput!$B$17/UserInput!$B$18,60,Calculations!H15*UserInput!$B$18))</f>
        <v>60</v>
      </c>
      <c r="I31">
        <f>IF(I15&lt;-UserInput!$B$17/UserInput!$B$18,-60,IF(I15&gt;UserInput!$B$17/UserInput!$B$18,60,Calculations!I15*UserInput!$B$18))</f>
        <v>60</v>
      </c>
      <c r="J31">
        <f>IF(J15&lt;-UserInput!$B$17/UserInput!$B$18,-60,IF(J15&gt;UserInput!$B$17/UserInput!$B$18,60,Calculations!J15*UserInput!$B$18))</f>
        <v>60</v>
      </c>
      <c r="K31">
        <f>IF(K15&lt;-UserInput!$B$17/UserInput!$B$18,-60,IF(K15&gt;UserInput!$B$17/UserInput!$B$18,60,Calculations!K15*UserInput!$B$18))</f>
        <v>60</v>
      </c>
      <c r="L31">
        <f>IF(L15&lt;-UserInput!$B$17/UserInput!$B$18,-60,IF(L15&gt;UserInput!$B$17/UserInput!$B$18,60,Calculations!L15*UserInput!$B$18))</f>
        <v>60</v>
      </c>
      <c r="M31">
        <f>IF(M15&lt;-UserInput!$B$17/UserInput!$B$18,-60,IF(M15&gt;UserInput!$B$17/UserInput!$B$18,60,Calculations!M15*UserInput!$B$18))</f>
        <v>60</v>
      </c>
      <c r="N31">
        <f>IF(N15&lt;-UserInput!$B$17/UserInput!$B$18,-60,IF(N15&gt;UserInput!$B$17/UserInput!$B$18,60,Calculations!N15*UserInput!$B$18))</f>
        <v>60</v>
      </c>
      <c r="O31">
        <f>IF(O15&lt;-UserInput!$B$17/UserInput!$B$18,-60,IF(O15&gt;UserInput!$B$17/UserInput!$B$18,60,Calculations!O15*UserInput!$B$18))</f>
        <v>60</v>
      </c>
      <c r="P31">
        <f>IF(P15&lt;-UserInput!$B$17/UserInput!$B$18,-60,IF(P15&gt;UserInput!$B$17/UserInput!$B$18,60,Calculations!P15*UserInput!$B$18))</f>
        <v>60</v>
      </c>
    </row>
    <row r="33" spans="1:20" x14ac:dyDescent="0.25">
      <c r="A33" s="4" t="s">
        <v>28</v>
      </c>
      <c r="I33" t="s">
        <v>30</v>
      </c>
    </row>
    <row r="34" spans="1:20" x14ac:dyDescent="0.25">
      <c r="A34" t="s">
        <v>18</v>
      </c>
      <c r="B34" t="s">
        <v>19</v>
      </c>
      <c r="C34" t="s">
        <v>31</v>
      </c>
      <c r="D34" t="s">
        <v>36</v>
      </c>
      <c r="E34" s="7" t="s">
        <v>37</v>
      </c>
      <c r="F34" t="s">
        <v>42</v>
      </c>
      <c r="G34" t="s">
        <v>29</v>
      </c>
      <c r="H34" t="s">
        <v>38</v>
      </c>
      <c r="I34">
        <v>1</v>
      </c>
      <c r="J34">
        <v>2</v>
      </c>
      <c r="K34">
        <v>3</v>
      </c>
      <c r="L34">
        <v>4</v>
      </c>
      <c r="M34">
        <v>5</v>
      </c>
      <c r="N34">
        <v>6</v>
      </c>
      <c r="O34">
        <v>7</v>
      </c>
      <c r="P34">
        <v>8</v>
      </c>
      <c r="Q34">
        <v>9</v>
      </c>
      <c r="R34">
        <v>10</v>
      </c>
      <c r="S34">
        <v>11</v>
      </c>
      <c r="T34">
        <v>12</v>
      </c>
    </row>
    <row r="35" spans="1:20" x14ac:dyDescent="0.25">
      <c r="A35">
        <v>1</v>
      </c>
      <c r="B35" t="s">
        <v>23</v>
      </c>
      <c r="C35" t="s">
        <v>23</v>
      </c>
      <c r="D35">
        <f>UserInput!$B$20*UserInput!B3</f>
        <v>18.737401063805599</v>
      </c>
      <c r="E35" s="8">
        <f>UserInput!B6-D35</f>
        <v>1366.704959169293</v>
      </c>
      <c r="F35">
        <v>0</v>
      </c>
      <c r="G35">
        <f t="shared" ref="G35:G46" si="4">-E35*C19</f>
        <v>-3485.0976458816972</v>
      </c>
      <c r="H35">
        <f>D19*UserInput!$B$20</f>
        <v>-93.687005319028003</v>
      </c>
      <c r="I35">
        <f>E19*UserInput!$B$20</f>
        <v>-93.687005319028003</v>
      </c>
      <c r="J35">
        <f>F19*UserInput!$B$20</f>
        <v>-93.687005319028003</v>
      </c>
      <c r="K35">
        <f>G19*UserInput!$B$20</f>
        <v>-93.687005319028003</v>
      </c>
      <c r="L35">
        <f>H19*UserInput!$B$20</f>
        <v>-93.687005319028003</v>
      </c>
      <c r="M35">
        <f>I19*UserInput!$B$20</f>
        <v>-93.687005319028003</v>
      </c>
      <c r="N35">
        <f>J19*UserInput!$B$20</f>
        <v>-93.687005319028003</v>
      </c>
      <c r="O35">
        <f>K19*UserInput!$B$20</f>
        <v>-93.687005319028003</v>
      </c>
      <c r="P35">
        <f>L19*UserInput!$B$20</f>
        <v>-93.687005319028003</v>
      </c>
      <c r="Q35">
        <f>M19*UserInput!$B$20</f>
        <v>-93.687005319028003</v>
      </c>
      <c r="R35">
        <f>N19*UserInput!$B$20</f>
        <v>-93.687005319028003</v>
      </c>
      <c r="S35">
        <f>O19*UserInput!$B$20</f>
        <v>-93.687005319028003</v>
      </c>
      <c r="T35">
        <f>P19*UserInput!$B$20</f>
        <v>-93.687005319028003</v>
      </c>
    </row>
    <row r="36" spans="1:20" x14ac:dyDescent="0.25">
      <c r="A36">
        <f>A35+1</f>
        <v>2</v>
      </c>
      <c r="B36" s="5">
        <f t="shared" ref="B36:B47" si="5">B20</f>
        <v>38.295000000000002</v>
      </c>
      <c r="C36">
        <f>B36*UserInput!$B$13</f>
        <v>32.550750000000001</v>
      </c>
      <c r="D36">
        <f>UserInput!$B$20*COUNTIF(Coordinates!$G$3:$G$103,"&gt;"&amp;UserInput!$B$2-Calculations!C36-UserInput!$B$2/2)</f>
        <v>12.491600709203734</v>
      </c>
      <c r="E36" s="7">
        <f>(UserInput!$B$2/2)^2*ACOS(((UserInput!$B$2/2)-C36)/(UserInput!$B$2/2))-((UserInput!$B$2/2)-C36)*SQRT(2*(UserInput!$B$2/2)*C36-C36^2)</f>
        <v>1152.1393032634953</v>
      </c>
      <c r="F36">
        <f>2*(2*(UserInput!$B$2/2)*C36-C36^2)^(3/2)/(3*E36)</f>
        <v>3.1213412887637508</v>
      </c>
      <c r="G36">
        <f t="shared" si="4"/>
        <v>-2937.9552233219129</v>
      </c>
      <c r="H36">
        <f>D20*UserInput!$B$20</f>
        <v>0</v>
      </c>
      <c r="I36">
        <f>E20*UserInput!$B$20</f>
        <v>-2.0305413571518711</v>
      </c>
      <c r="J36">
        <f>F20*UserInput!$B$20</f>
        <v>-17.925569544815566</v>
      </c>
      <c r="K36">
        <f>G20*UserInput!$B$20</f>
        <v>-45.45656595358853</v>
      </c>
      <c r="L36">
        <f>H20*UserInput!$B$20</f>
        <v>-77.246622328915933</v>
      </c>
      <c r="M36">
        <f>I20*UserInput!$B$20</f>
        <v>-93.687005319028003</v>
      </c>
      <c r="N36">
        <f>J20*UserInput!$B$20</f>
        <v>-93.687005319028003</v>
      </c>
      <c r="O36">
        <f>K20*UserInput!$B$20</f>
        <v>-93.687005319028003</v>
      </c>
      <c r="P36">
        <f>L20*UserInput!$B$20</f>
        <v>-93.687005319028003</v>
      </c>
      <c r="Q36">
        <f>M20*UserInput!$B$20</f>
        <v>-77.246622328915976</v>
      </c>
      <c r="R36">
        <f>N20*UserInput!$B$20</f>
        <v>-45.456565953588573</v>
      </c>
      <c r="S36">
        <f>O20*UserInput!$B$20</f>
        <v>-17.925569544815581</v>
      </c>
      <c r="T36">
        <f>P20*UserInput!$B$20</f>
        <v>-2.030541357151884</v>
      </c>
    </row>
    <row r="37" spans="1:20" x14ac:dyDescent="0.25">
      <c r="A37">
        <f t="shared" ref="A37:A47" si="6">A36+1</f>
        <v>3</v>
      </c>
      <c r="B37" s="5">
        <f t="shared" si="5"/>
        <v>32.663382352941184</v>
      </c>
      <c r="C37">
        <f>B37*UserInput!$B$13</f>
        <v>27.763875000000006</v>
      </c>
      <c r="D37">
        <f>UserInput!$B$20*COUNTIF(Coordinates!$G$3:$G$103,"&gt;"&amp;UserInput!$B$2-Calculations!C37-UserInput!$B$2/2)</f>
        <v>12.491600709203734</v>
      </c>
      <c r="E37" s="7">
        <f>(UserInput!$B$2/2)^2*ACOS(((UserInput!$B$2/2)-C37)/(UserInput!$B$2/2))-((UserInput!$B$2/2)-C37)*SQRT(2*(UserInput!$B$2/2)*C37-C37^2)</f>
        <v>971.81264952869844</v>
      </c>
      <c r="F37">
        <f>2*(2*(UserInput!$B$2/2)*C37-C37^2)^(3/2)/(3*E37)</f>
        <v>5.3905614709750695</v>
      </c>
      <c r="G37">
        <f t="shared" si="4"/>
        <v>-2478.1222562981807</v>
      </c>
      <c r="H37">
        <f>D21*UserInput!$B$20</f>
        <v>23.421751329757001</v>
      </c>
      <c r="I37">
        <f>E21*UserInput!$B$20</f>
        <v>21.041116635165121</v>
      </c>
      <c r="J37">
        <f>F21*UserInput!$B$20</f>
        <v>2.4055663461801018</v>
      </c>
      <c r="K37">
        <f>G21*UserInput!$B$20</f>
        <v>-29.872153581346819</v>
      </c>
      <c r="L37">
        <f>H21*UserInput!$B$20</f>
        <v>-67.143254159316854</v>
      </c>
      <c r="M37">
        <f>I21*UserInput!$B$20</f>
        <v>-93.687005319028003</v>
      </c>
      <c r="N37">
        <f>J21*UserInput!$B$20</f>
        <v>-93.687005319028003</v>
      </c>
      <c r="O37">
        <f>K21*UserInput!$B$20</f>
        <v>-93.687005319028003</v>
      </c>
      <c r="P37">
        <f>L21*UserInput!$B$20</f>
        <v>-93.687005319028003</v>
      </c>
      <c r="Q37">
        <f>M21*UserInput!$B$20</f>
        <v>-67.143254159316925</v>
      </c>
      <c r="R37">
        <f>N21*UserInput!$B$20</f>
        <v>-29.872153581346861</v>
      </c>
      <c r="S37">
        <f>O21*UserInput!$B$20</f>
        <v>2.4055663461800871</v>
      </c>
      <c r="T37">
        <f>P21*UserInput!$B$20</f>
        <v>21.041116635165107</v>
      </c>
    </row>
    <row r="38" spans="1:20" x14ac:dyDescent="0.25">
      <c r="A38">
        <f t="shared" si="6"/>
        <v>4</v>
      </c>
      <c r="B38" s="5">
        <f t="shared" si="5"/>
        <v>28.475769230769234</v>
      </c>
      <c r="C38">
        <f>B38*UserInput!$B$13</f>
        <v>24.204403846153848</v>
      </c>
      <c r="D38">
        <f>UserInput!$B$20*COUNTIF(Coordinates!$G$3:$G$103,"&gt;"&amp;UserInput!$B$2-Calculations!C38-UserInput!$B$2/2)</f>
        <v>9.3687005319027996</v>
      </c>
      <c r="E38" s="7">
        <f>(UserInput!$B$2/2)^2*ACOS(((UserInput!$B$2/2)-C38)/(UserInput!$B$2/2))-((UserInput!$B$2/2)-C38)*SQRT(2*(UserInput!$B$2/2)*C38-C38^2)</f>
        <v>826.7820248736366</v>
      </c>
      <c r="F38">
        <f>2*(2*(UserInput!$B$2/2)*C38-C38^2)^(3/2)/(3*E38)</f>
        <v>7.2082213221127525</v>
      </c>
      <c r="G38">
        <f t="shared" si="4"/>
        <v>-2108.2941634277731</v>
      </c>
      <c r="H38">
        <f>D22*UserInput!$B$20</f>
        <v>46.843502659514002</v>
      </c>
      <c r="I38">
        <f>E22*UserInput!$B$20</f>
        <v>44.11277462748216</v>
      </c>
      <c r="J38">
        <f>F22*UserInput!$B$20</f>
        <v>22.736702237175813</v>
      </c>
      <c r="K38">
        <f>G22*UserInput!$B$20</f>
        <v>-14.287741209105072</v>
      </c>
      <c r="L38">
        <f>H22*UserInput!$B$20</f>
        <v>-57.039885989717774</v>
      </c>
      <c r="M38">
        <f>I22*UserInput!$B$20</f>
        <v>-93.687005319028003</v>
      </c>
      <c r="N38">
        <f>J22*UserInput!$B$20</f>
        <v>-93.687005319028003</v>
      </c>
      <c r="O38">
        <f>K22*UserInput!$B$20</f>
        <v>-93.687005319028003</v>
      </c>
      <c r="P38">
        <f>L22*UserInput!$B$20</f>
        <v>-93.687005319028003</v>
      </c>
      <c r="Q38">
        <f>M22*UserInput!$B$20</f>
        <v>-57.039885989717838</v>
      </c>
      <c r="R38">
        <f>N22*UserInput!$B$20</f>
        <v>-14.287741209105127</v>
      </c>
      <c r="S38">
        <f>O22*UserInput!$B$20</f>
        <v>22.736702237175791</v>
      </c>
      <c r="T38">
        <f>P22*UserInput!$B$20</f>
        <v>44.112774627482139</v>
      </c>
    </row>
    <row r="39" spans="1:20" x14ac:dyDescent="0.25">
      <c r="A39">
        <f t="shared" si="6"/>
        <v>5</v>
      </c>
      <c r="B39" s="5">
        <f t="shared" si="5"/>
        <v>25.239886363636362</v>
      </c>
      <c r="C39">
        <f>B39*UserInput!$B$13</f>
        <v>21.453903409090906</v>
      </c>
      <c r="D39">
        <f>UserInput!$B$20*COUNTIF(Coordinates!$G$3:$G$103,"&gt;"&amp;UserInput!$B$2-Calculations!C39-UserInput!$B$2/2)</f>
        <v>9.3687005319027996</v>
      </c>
      <c r="E39" s="7">
        <f>(UserInput!$B$2/2)^2*ACOS(((UserInput!$B$2/2)-C39)/(UserInput!$B$2/2))-((UserInput!$B$2/2)-C39)*SQRT(2*(UserInput!$B$2/2)*C39-C39^2)</f>
        <v>711.78363879829669</v>
      </c>
      <c r="F39">
        <f>2*(2*(UserInput!$B$2/2)*C39-C39^2)^(3/2)/(3*E39)</f>
        <v>8.6679063337061919</v>
      </c>
      <c r="G39">
        <f t="shared" si="4"/>
        <v>-1815.0482789356565</v>
      </c>
      <c r="H39">
        <f>D23*UserInput!$B$20</f>
        <v>70.265253989271002</v>
      </c>
      <c r="I39">
        <f>E23*UserInput!$B$20</f>
        <v>67.184432619799225</v>
      </c>
      <c r="J39">
        <f>F23*UserInput!$B$20</f>
        <v>43.067838128171545</v>
      </c>
      <c r="K39">
        <f>G23*UserInput!$B$20</f>
        <v>1.2966711631366892</v>
      </c>
      <c r="L39">
        <f>H23*UserInput!$B$20</f>
        <v>-46.936517820118681</v>
      </c>
      <c r="M39">
        <f>I23*UserInput!$B$20</f>
        <v>-88.70768478515356</v>
      </c>
      <c r="N39">
        <f>J23*UserInput!$B$20</f>
        <v>-93.687005319028003</v>
      </c>
      <c r="O39">
        <f>K23*UserInput!$B$20</f>
        <v>-93.687005319028003</v>
      </c>
      <c r="P39">
        <f>L23*UserInput!$B$20</f>
        <v>-88.707684785153589</v>
      </c>
      <c r="Q39">
        <f>M23*UserInput!$B$20</f>
        <v>-46.936517820118759</v>
      </c>
      <c r="R39">
        <f>N23*UserInput!$B$20</f>
        <v>1.2966711631366268</v>
      </c>
      <c r="S39">
        <f>O23*UserInput!$B$20</f>
        <v>43.067838128171523</v>
      </c>
      <c r="T39">
        <f>P23*UserInput!$B$20</f>
        <v>67.184432619799196</v>
      </c>
    </row>
    <row r="40" spans="1:20" x14ac:dyDescent="0.25">
      <c r="A40">
        <f t="shared" si="6"/>
        <v>6</v>
      </c>
      <c r="B40" s="5">
        <f t="shared" si="5"/>
        <v>22.664387755102041</v>
      </c>
      <c r="C40">
        <f>B40*UserInput!$B$13</f>
        <v>19.264729591836733</v>
      </c>
      <c r="D40">
        <f>UserInput!$B$20*COUNTIF(Coordinates!$G$3:$G$103,"&gt;"&amp;UserInput!$B$2-Calculations!C40-UserInput!$B$2/2)</f>
        <v>9.3687005319027996</v>
      </c>
      <c r="E40" s="7">
        <f>(UserInput!$B$2/2)^2*ACOS(((UserInput!$B$2/2)-C40)/(UserInput!$B$2/2))-((UserInput!$B$2/2)-C40)*SQRT(2*(UserInput!$B$2/2)*C40-C40^2)</f>
        <v>619.92284753682395</v>
      </c>
      <c r="F40">
        <f>2*(2*(UserInput!$B$2/2)*C40-C40^2)^(3/2)/(3*E40)</f>
        <v>9.8574744550582682</v>
      </c>
      <c r="G40">
        <f t="shared" si="4"/>
        <v>-1580.8032612189011</v>
      </c>
      <c r="H40">
        <f>D24*UserInput!$B$20</f>
        <v>93.687005319028003</v>
      </c>
      <c r="I40">
        <f>E24*UserInput!$B$20</f>
        <v>90.256090612116253</v>
      </c>
      <c r="J40">
        <f>F24*UserInput!$B$20</f>
        <v>63.398974019167234</v>
      </c>
      <c r="K40">
        <f>G24*UserInput!$B$20</f>
        <v>16.881083535378419</v>
      </c>
      <c r="L40">
        <f>H24*UserInput!$B$20</f>
        <v>-36.833149650519601</v>
      </c>
      <c r="M40">
        <f>I24*UserInput!$B$20</f>
        <v>-83.351040134308448</v>
      </c>
      <c r="N40">
        <f>J24*UserInput!$B$20</f>
        <v>-93.687005319028003</v>
      </c>
      <c r="O40">
        <f>K24*UserInput!$B$20</f>
        <v>-93.687005319028003</v>
      </c>
      <c r="P40">
        <f>L24*UserInput!$B$20</f>
        <v>-83.351040134308477</v>
      </c>
      <c r="Q40">
        <f>M24*UserInput!$B$20</f>
        <v>-36.833149650519694</v>
      </c>
      <c r="R40">
        <f>N24*UserInput!$B$20</f>
        <v>16.881083535378352</v>
      </c>
      <c r="S40">
        <f>O24*UserInput!$B$20</f>
        <v>63.398974019167198</v>
      </c>
      <c r="T40">
        <f>P24*UserInput!$B$20</f>
        <v>90.256090612116196</v>
      </c>
    </row>
    <row r="41" spans="1:20" x14ac:dyDescent="0.25">
      <c r="A41">
        <f t="shared" si="6"/>
        <v>7</v>
      </c>
      <c r="B41" s="5">
        <f t="shared" si="5"/>
        <v>16.094999999999999</v>
      </c>
      <c r="C41">
        <f>B41*UserInput!$B$13</f>
        <v>13.680749999999998</v>
      </c>
      <c r="D41">
        <f>UserInput!$B$20*COUNTIF(Coordinates!$G$3:$G$103,"&gt;"&amp;UserInput!$B$2-Calculations!C41-UserInput!$B$2/2)</f>
        <v>6.245800354601867</v>
      </c>
      <c r="E41" s="7">
        <f>(UserInput!$B$2/2)^2*ACOS(((UserInput!$B$2/2)-C41)/(UserInput!$B$2/2))-((UserInput!$B$2/2)-C41)*SQRT(2*(UserInput!$B$2/2)*C41-C41^2)</f>
        <v>391.65517221972613</v>
      </c>
      <c r="F41">
        <f>2*(2*(UserInput!$B$2/2)*C41-C41^2)^(3/2)/(3*E41)</f>
        <v>12.980527929089922</v>
      </c>
      <c r="G41">
        <f t="shared" si="4"/>
        <v>-998.7206891603015</v>
      </c>
      <c r="H41">
        <f>D25*UserInput!$B$20</f>
        <v>93.687005319028003</v>
      </c>
      <c r="I41">
        <f>E25*UserInput!$B$20</f>
        <v>93.687005319028003</v>
      </c>
      <c r="J41">
        <f>F25*UserInput!$B$20</f>
        <v>93.687005319028003</v>
      </c>
      <c r="K41">
        <f>G25*UserInput!$B$20</f>
        <v>79.218733024345383</v>
      </c>
      <c r="L41">
        <f>H25*UserInput!$B$20</f>
        <v>3.5803230278767346</v>
      </c>
      <c r="M41">
        <f>I25*UserInput!$B$20</f>
        <v>-61.924461530927942</v>
      </c>
      <c r="N41">
        <f>J25*UserInput!$B$20</f>
        <v>-93.687005319028003</v>
      </c>
      <c r="O41">
        <f>K25*UserInput!$B$20</f>
        <v>-93.687005319028003</v>
      </c>
      <c r="P41">
        <f>L25*UserInput!$B$20</f>
        <v>-61.924461530928006</v>
      </c>
      <c r="Q41">
        <f>M25*UserInput!$B$20</f>
        <v>3.5803230278766072</v>
      </c>
      <c r="R41">
        <f>N25*UserInput!$B$20</f>
        <v>79.218733024345269</v>
      </c>
      <c r="S41">
        <f>O25*UserInput!$B$20</f>
        <v>93.687005319028003</v>
      </c>
      <c r="T41">
        <f>P25*UserInput!$B$20</f>
        <v>93.687005319028003</v>
      </c>
    </row>
    <row r="42" spans="1:20" x14ac:dyDescent="0.25">
      <c r="A42">
        <f t="shared" si="6"/>
        <v>8</v>
      </c>
      <c r="B42" s="5">
        <f t="shared" si="5"/>
        <v>12.478146067415732</v>
      </c>
      <c r="C42">
        <f>B42*UserInput!$B$13</f>
        <v>10.606424157303373</v>
      </c>
      <c r="D42">
        <f>UserInput!$B$20*COUNTIF(Coordinates!$G$3:$G$103,"&gt;"&amp;UserInput!$B$2-Calculations!C42-UserInput!$B$2/2)</f>
        <v>6.245800354601867</v>
      </c>
      <c r="E42" s="7">
        <f>(UserInput!$B$2/2)^2*ACOS(((UserInput!$B$2/2)-C42)/(UserInput!$B$2/2))-((UserInput!$B$2/2)-C42)*SQRT(2*(UserInput!$B$2/2)*C42-C42^2)</f>
        <v>274.73300128774628</v>
      </c>
      <c r="F42">
        <f>2*(2*(UserInput!$B$2/2)*C42-C42^2)^(3/2)/(3*E42)</f>
        <v>14.743906767416282</v>
      </c>
      <c r="G42">
        <f t="shared" si="4"/>
        <v>-700.56915328375294</v>
      </c>
      <c r="H42">
        <f>D26*UserInput!$B$20</f>
        <v>93.687005319028003</v>
      </c>
      <c r="I42">
        <f>E26*UserInput!$B$20</f>
        <v>93.687005319028003</v>
      </c>
      <c r="J42">
        <f>F26*UserInput!$B$20</f>
        <v>93.687005319028003</v>
      </c>
      <c r="K42">
        <f>G26*UserInput!$B$20</f>
        <v>93.687005319028003</v>
      </c>
      <c r="L42">
        <f>H26*UserInput!$B$20</f>
        <v>43.993795706273026</v>
      </c>
      <c r="M42">
        <f>I26*UserInput!$B$20</f>
        <v>-40.497882927547487</v>
      </c>
      <c r="N42">
        <f>J26*UserInput!$B$20</f>
        <v>-89.279176331067077</v>
      </c>
      <c r="O42">
        <f>K26*UserInput!$B$20</f>
        <v>-89.27917633106712</v>
      </c>
      <c r="P42">
        <f>L26*UserInput!$B$20</f>
        <v>-40.497882927547565</v>
      </c>
      <c r="Q42">
        <f>M26*UserInput!$B$20</f>
        <v>43.993795706272863</v>
      </c>
      <c r="R42">
        <f>N26*UserInput!$B$20</f>
        <v>93.687005319028003</v>
      </c>
      <c r="S42">
        <f>O26*UserInput!$B$20</f>
        <v>93.687005319028003</v>
      </c>
      <c r="T42">
        <f>P26*UserInput!$B$20</f>
        <v>93.687005319028003</v>
      </c>
    </row>
    <row r="43" spans="1:20" x14ac:dyDescent="0.25">
      <c r="A43">
        <f t="shared" si="6"/>
        <v>9</v>
      </c>
      <c r="B43" s="5">
        <f t="shared" si="5"/>
        <v>10.188577981651376</v>
      </c>
      <c r="C43">
        <f>B43*UserInput!$B$13</f>
        <v>8.6602912844036695</v>
      </c>
      <c r="D43">
        <f>UserInput!$B$20*COUNTIF(Coordinates!$G$3:$G$103,"&gt;"&amp;UserInput!$B$2-Calculations!C43-UserInput!$B$2/2)</f>
        <v>3.1229001773009335</v>
      </c>
      <c r="E43" s="7">
        <f>(UserInput!$B$2/2)^2*ACOS(((UserInput!$B$2/2)-C43)/(UserInput!$B$2/2))-((UserInput!$B$2/2)-C43)*SQRT(2*(UserInput!$B$2/2)*C43-C43^2)</f>
        <v>206.05324992594294</v>
      </c>
      <c r="F43">
        <f>2*(2*(UserInput!$B$2/2)*C43-C43^2)^(3/2)/(3*E43)</f>
        <v>15.873427883296326</v>
      </c>
      <c r="G43">
        <f t="shared" si="4"/>
        <v>-525.4357873111544</v>
      </c>
      <c r="H43">
        <f>D27*UserInput!$B$20</f>
        <v>93.687005319028003</v>
      </c>
      <c r="I43">
        <f>E27*UserInput!$B$20</f>
        <v>93.687005319028003</v>
      </c>
      <c r="J43">
        <f>F27*UserInput!$B$20</f>
        <v>93.687005319028003</v>
      </c>
      <c r="K43">
        <f>G27*UserInput!$B$20</f>
        <v>93.687005319028003</v>
      </c>
      <c r="L43">
        <f>H27*UserInput!$B$20</f>
        <v>84.407268384669379</v>
      </c>
      <c r="M43">
        <f>I27*UserInput!$B$20</f>
        <v>-19.071304324166992</v>
      </c>
      <c r="N43">
        <f>J27*UserInput!$B$20</f>
        <v>-78.8146861329719</v>
      </c>
      <c r="O43">
        <f>K27*UserInput!$B$20</f>
        <v>-78.814686132971943</v>
      </c>
      <c r="P43">
        <f>L27*UserInput!$B$20</f>
        <v>-19.071304324167084</v>
      </c>
      <c r="Q43">
        <f>M27*UserInput!$B$20</f>
        <v>84.40726838466918</v>
      </c>
      <c r="R43">
        <f>N27*UserInput!$B$20</f>
        <v>93.687005319028003</v>
      </c>
      <c r="S43">
        <f>O27*UserInput!$B$20</f>
        <v>93.687005319028003</v>
      </c>
      <c r="T43">
        <f>P27*UserInput!$B$20</f>
        <v>93.687005319028003</v>
      </c>
    </row>
    <row r="44" spans="1:20" x14ac:dyDescent="0.25">
      <c r="A44">
        <f t="shared" si="6"/>
        <v>10</v>
      </c>
      <c r="B44" s="5">
        <f t="shared" si="5"/>
        <v>7.4533892617449666</v>
      </c>
      <c r="C44">
        <f>B44*UserInput!$B$13</f>
        <v>6.3353808724832215</v>
      </c>
      <c r="D44">
        <f>UserInput!$B$20*COUNTIF(Coordinates!$G$3:$G$103,"&gt;"&amp;UserInput!$B$2-Calculations!C44-UserInput!$B$2/2)</f>
        <v>3.1229001773009335</v>
      </c>
      <c r="E44" s="7">
        <f>(UserInput!$B$2/2)^2*ACOS(((UserInput!$B$2/2)-C44)/(UserInput!$B$2/2))-((UserInput!$B$2/2)-C44)*SQRT(2*(UserInput!$B$2/2)*C44-C44^2)</f>
        <v>131.37742747866608</v>
      </c>
      <c r="F44">
        <f>2*(2*(UserInput!$B$2/2)*C44-C44^2)^(3/2)/(3*E44)</f>
        <v>17.234689618285437</v>
      </c>
      <c r="G44">
        <f t="shared" si="4"/>
        <v>-335.01244007059847</v>
      </c>
      <c r="H44">
        <f>D28*UserInput!$B$20</f>
        <v>93.687005319028003</v>
      </c>
      <c r="I44">
        <f>E28*UserInput!$B$20</f>
        <v>93.687005319028003</v>
      </c>
      <c r="J44">
        <f>F28*UserInput!$B$20</f>
        <v>93.687005319028003</v>
      </c>
      <c r="K44">
        <f>G28*UserInput!$B$20</f>
        <v>93.687005319028003</v>
      </c>
      <c r="L44">
        <f>H28*UserInput!$B$20</f>
        <v>93.687005319028003</v>
      </c>
      <c r="M44">
        <f>I28*UserInput!$B$20</f>
        <v>23.781852882593959</v>
      </c>
      <c r="N44">
        <f>J28*UserInput!$B$20</f>
        <v>-57.88570573678156</v>
      </c>
      <c r="O44">
        <f>K28*UserInput!$B$20</f>
        <v>-57.885705736781624</v>
      </c>
      <c r="P44">
        <f>L28*UserInput!$B$20</f>
        <v>23.781852882593832</v>
      </c>
      <c r="Q44">
        <f>M28*UserInput!$B$20</f>
        <v>93.687005319028003</v>
      </c>
      <c r="R44">
        <f>N28*UserInput!$B$20</f>
        <v>93.687005319028003</v>
      </c>
      <c r="S44">
        <f>O28*UserInput!$B$20</f>
        <v>93.687005319028003</v>
      </c>
      <c r="T44">
        <f>P28*UserInput!$B$20</f>
        <v>93.687005319028003</v>
      </c>
    </row>
    <row r="45" spans="1:20" x14ac:dyDescent="0.25">
      <c r="A45">
        <f t="shared" si="6"/>
        <v>11</v>
      </c>
      <c r="B45" s="5">
        <f t="shared" si="5"/>
        <v>5.8759523809523824</v>
      </c>
      <c r="C45">
        <f>B45*UserInput!$B$13</f>
        <v>4.9945595238095253</v>
      </c>
      <c r="D45">
        <f>UserInput!$B$20*COUNTIF(Coordinates!$G$3:$G$103,"&gt;"&amp;UserInput!$B$2-Calculations!C45-UserInput!$B$2/2)</f>
        <v>3.1229001773009335</v>
      </c>
      <c r="E45" s="7">
        <f>(UserInput!$B$2/2)^2*ACOS(((UserInput!$B$2/2)-C45)/(UserInput!$B$2/2))-((UserInput!$B$2/2)-C45)*SQRT(2*(UserInput!$B$2/2)*C45-C45^2)</f>
        <v>92.933921272762603</v>
      </c>
      <c r="F45">
        <f>2*(2*(UserInput!$B$2/2)*C45-C45^2)^(3/2)/(3*E45)</f>
        <v>18.025139547241995</v>
      </c>
      <c r="G45">
        <f t="shared" si="4"/>
        <v>-236.98149924554463</v>
      </c>
      <c r="H45">
        <f>D29*UserInput!$B$20</f>
        <v>93.687005319028003</v>
      </c>
      <c r="I45">
        <f>E29*UserInput!$B$20</f>
        <v>93.687005319028003</v>
      </c>
      <c r="J45">
        <f>F29*UserInput!$B$20</f>
        <v>93.687005319028003</v>
      </c>
      <c r="K45">
        <f>G29*UserInput!$B$20</f>
        <v>93.687005319028003</v>
      </c>
      <c r="L45">
        <f>H29*UserInput!$B$20</f>
        <v>93.687005319028003</v>
      </c>
      <c r="M45">
        <f>I29*UserInput!$B$20</f>
        <v>66.635010089354878</v>
      </c>
      <c r="N45">
        <f>J29*UserInput!$B$20</f>
        <v>-36.956725340591227</v>
      </c>
      <c r="O45">
        <f>K29*UserInput!$B$20</f>
        <v>-36.956725340591312</v>
      </c>
      <c r="P45">
        <f>L29*UserInput!$B$20</f>
        <v>66.635010089354722</v>
      </c>
      <c r="Q45">
        <f>M29*UserInput!$B$20</f>
        <v>93.687005319028003</v>
      </c>
      <c r="R45">
        <f>N29*UserInput!$B$20</f>
        <v>93.687005319028003</v>
      </c>
      <c r="S45">
        <f>O29*UserInput!$B$20</f>
        <v>93.687005319028003</v>
      </c>
      <c r="T45">
        <f>P29*UserInput!$B$20</f>
        <v>93.687005319028003</v>
      </c>
    </row>
    <row r="46" spans="1:20" x14ac:dyDescent="0.25">
      <c r="A46">
        <f t="shared" si="6"/>
        <v>12</v>
      </c>
      <c r="B46" s="5">
        <f t="shared" si="5"/>
        <v>4.8495851528384293</v>
      </c>
      <c r="C46">
        <f>B46*UserInput!$B$13</f>
        <v>4.1221473799126649</v>
      </c>
      <c r="D46">
        <f>UserInput!$B$20*COUNTIF(Coordinates!$G$3:$G$103,"&gt;"&amp;UserInput!$B$2-Calculations!C46-UserInput!$B$2/2)</f>
        <v>0</v>
      </c>
      <c r="E46" s="7">
        <f>(UserInput!$B$2/2)^2*ACOS(((UserInput!$B$2/2)-C46)/(UserInput!$B$2/2))-((UserInput!$B$2/2)-C46)*SQRT(2*(UserInput!$B$2/2)*C46-C46^2)</f>
        <v>70.150219217528388</v>
      </c>
      <c r="F46">
        <f>2*(2*(UserInput!$B$2/2)*C46-C46^2)^(3/2)/(3*E46)</f>
        <v>18.541420611749938</v>
      </c>
      <c r="G46">
        <f t="shared" si="4"/>
        <v>-178.88305900469737</v>
      </c>
      <c r="H46">
        <f>D30*UserInput!$B$20</f>
        <v>93.687005319028003</v>
      </c>
      <c r="I46">
        <f>E30*UserInput!$B$20</f>
        <v>93.687005319028003</v>
      </c>
      <c r="J46">
        <f>F30*UserInput!$B$20</f>
        <v>93.687005319028003</v>
      </c>
      <c r="K46">
        <f>G30*UserInput!$B$20</f>
        <v>93.687005319028003</v>
      </c>
      <c r="L46">
        <f>H30*UserInput!$B$20</f>
        <v>93.687005319028003</v>
      </c>
      <c r="M46">
        <f>I30*UserInput!$B$20</f>
        <v>93.687005319028003</v>
      </c>
      <c r="N46">
        <f>J30*UserInput!$B$20</f>
        <v>-16.027744944400887</v>
      </c>
      <c r="O46">
        <f>K30*UserInput!$B$20</f>
        <v>-16.027744944400986</v>
      </c>
      <c r="P46">
        <f>L30*UserInput!$B$20</f>
        <v>93.687005319028003</v>
      </c>
      <c r="Q46">
        <f>M30*UserInput!$B$20</f>
        <v>93.687005319028003</v>
      </c>
      <c r="R46">
        <f>N30*UserInput!$B$20</f>
        <v>93.687005319028003</v>
      </c>
      <c r="S46">
        <f>O30*UserInput!$B$20</f>
        <v>93.687005319028003</v>
      </c>
      <c r="T46">
        <f>P30*UserInput!$B$20</f>
        <v>93.687005319028003</v>
      </c>
    </row>
    <row r="47" spans="1:20" x14ac:dyDescent="0.25">
      <c r="A47">
        <f t="shared" si="6"/>
        <v>13</v>
      </c>
      <c r="B47" s="5" t="str">
        <f t="shared" si="5"/>
        <v>N/A</v>
      </c>
      <c r="C47" t="s">
        <v>23</v>
      </c>
      <c r="D47">
        <f>UserInput!$B$20*COUNTIF(Coordinates!$G$3:$G$103,"&gt;"&amp;UserInput!$B$2-Calculations!C47-UserInput!$B$2/2)</f>
        <v>0</v>
      </c>
      <c r="E47" s="7">
        <v>0</v>
      </c>
      <c r="F47">
        <v>0</v>
      </c>
      <c r="G47">
        <f t="shared" ref="G47" si="7">-E47*C31</f>
        <v>0</v>
      </c>
      <c r="H47">
        <f>D31*UserInput!$B$20</f>
        <v>93.687005319028003</v>
      </c>
      <c r="I47">
        <f>E31*UserInput!$B$20</f>
        <v>93.687005319028003</v>
      </c>
      <c r="J47">
        <f>F31*UserInput!$B$20</f>
        <v>93.687005319028003</v>
      </c>
      <c r="K47">
        <f>G31*UserInput!$B$20</f>
        <v>93.687005319028003</v>
      </c>
      <c r="L47">
        <f>H31*UserInput!$B$20</f>
        <v>93.687005319028003</v>
      </c>
      <c r="M47">
        <f>I31*UserInput!$B$20</f>
        <v>93.687005319028003</v>
      </c>
      <c r="N47">
        <f>J31*UserInput!$B$20</f>
        <v>93.687005319028003</v>
      </c>
      <c r="O47">
        <f>K31*UserInput!$B$20</f>
        <v>93.687005319028003</v>
      </c>
      <c r="P47">
        <f>L31*UserInput!$B$20</f>
        <v>93.687005319028003</v>
      </c>
      <c r="Q47">
        <f>M31*UserInput!$B$20</f>
        <v>93.687005319028003</v>
      </c>
      <c r="R47">
        <f>N31*UserInput!$B$20</f>
        <v>93.687005319028003</v>
      </c>
      <c r="S47">
        <f>O31*UserInput!$B$20</f>
        <v>93.687005319028003</v>
      </c>
      <c r="T47">
        <f>P31*UserInput!$B$20</f>
        <v>93.687005319028003</v>
      </c>
    </row>
    <row r="49" spans="1:5" x14ac:dyDescent="0.25">
      <c r="A49" s="4" t="s">
        <v>32</v>
      </c>
    </row>
    <row r="50" spans="1:5" x14ac:dyDescent="0.25">
      <c r="A50" t="s">
        <v>18</v>
      </c>
      <c r="B50" t="s">
        <v>33</v>
      </c>
      <c r="C50" t="s">
        <v>34</v>
      </c>
      <c r="D50" s="6" t="s">
        <v>35</v>
      </c>
      <c r="E50" t="s">
        <v>45</v>
      </c>
    </row>
    <row r="51" spans="1:5" x14ac:dyDescent="0.25">
      <c r="A51">
        <v>1</v>
      </c>
      <c r="B51">
        <v>4609.3417097100337</v>
      </c>
      <c r="C51">
        <v>1.8189894035458565E-12</v>
      </c>
      <c r="D51" t="s">
        <v>23</v>
      </c>
      <c r="E51" t="s">
        <v>46</v>
      </c>
    </row>
    <row r="52" spans="1:5" x14ac:dyDescent="0.25">
      <c r="A52">
        <f>A51+1</f>
        <v>2</v>
      </c>
      <c r="B52">
        <v>3598.021842966969</v>
      </c>
      <c r="C52">
        <v>14375.628696938007</v>
      </c>
      <c r="D52">
        <v>7.8339208613734641E-5</v>
      </c>
      <c r="E52" s="11" t="s">
        <v>48</v>
      </c>
    </row>
    <row r="53" spans="1:5" x14ac:dyDescent="0.25">
      <c r="A53">
        <f t="shared" ref="A53:A63" si="8">A52+1</f>
        <v>3</v>
      </c>
      <c r="B53">
        <v>3000.0077270929296</v>
      </c>
      <c r="C53">
        <v>19882.271716446528</v>
      </c>
      <c r="D53">
        <v>9.1845968649177022E-5</v>
      </c>
      <c r="E53" s="10">
        <v>0.25</v>
      </c>
    </row>
    <row r="54" spans="1:5" x14ac:dyDescent="0.25">
      <c r="A54">
        <f t="shared" si="8"/>
        <v>4</v>
      </c>
      <c r="B54">
        <v>2491.9984853722153</v>
      </c>
      <c r="C54">
        <v>23039.385910821242</v>
      </c>
      <c r="D54">
        <v>1.0535272865110804E-4</v>
      </c>
      <c r="E54" s="10">
        <f>E53+0.25</f>
        <v>0.5</v>
      </c>
    </row>
    <row r="55" spans="1:5" x14ac:dyDescent="0.25">
      <c r="A55">
        <f t="shared" si="8"/>
        <v>5</v>
      </c>
      <c r="B55">
        <v>2050.6128109620422</v>
      </c>
      <c r="C55">
        <v>24771.625494830816</v>
      </c>
      <c r="D55">
        <v>1.1885948861459953E-4</v>
      </c>
      <c r="E55" s="10">
        <f t="shared" ref="E55:E56" si="9">E54+0.25</f>
        <v>0.75</v>
      </c>
    </row>
    <row r="56" spans="1:5" x14ac:dyDescent="0.25">
      <c r="A56">
        <f t="shared" si="8"/>
        <v>6</v>
      </c>
      <c r="B56">
        <v>1667.4733550932897</v>
      </c>
      <c r="C56">
        <v>25809.068598648792</v>
      </c>
      <c r="D56">
        <v>1.3236624853472332E-4</v>
      </c>
      <c r="E56" s="9">
        <f t="shared" si="9"/>
        <v>1</v>
      </c>
    </row>
    <row r="57" spans="1:5" x14ac:dyDescent="0.25">
      <c r="A57">
        <f t="shared" si="8"/>
        <v>7</v>
      </c>
      <c r="B57">
        <v>769.5974894796575</v>
      </c>
      <c r="C57">
        <v>23718.44612516843</v>
      </c>
      <c r="D57">
        <v>1.8639328768297871E-4</v>
      </c>
      <c r="E57" s="9">
        <f>E56+1</f>
        <v>2</v>
      </c>
    </row>
    <row r="58" spans="1:5" x14ac:dyDescent="0.25">
      <c r="A58">
        <f t="shared" si="8"/>
        <v>8</v>
      </c>
      <c r="B58">
        <v>310.01364847426828</v>
      </c>
      <c r="C58">
        <v>20179.120025804055</v>
      </c>
      <c r="D58">
        <v>2.4042032574309955E-4</v>
      </c>
      <c r="E58" s="9">
        <f>E57+1</f>
        <v>3</v>
      </c>
    </row>
    <row r="59" spans="1:5" x14ac:dyDescent="0.25">
      <c r="A59">
        <f t="shared" si="8"/>
        <v>9</v>
      </c>
      <c r="B59">
        <v>-9.7288004580742609</v>
      </c>
      <c r="C59">
        <v>16953.705101934462</v>
      </c>
      <c r="D59">
        <v>2.9444736239968462E-4</v>
      </c>
      <c r="E59" s="9">
        <f>E58+1</f>
        <v>4</v>
      </c>
    </row>
    <row r="60" spans="1:5" x14ac:dyDescent="0.25">
      <c r="A60">
        <f t="shared" si="8"/>
        <v>10</v>
      </c>
      <c r="B60">
        <v>-346.27589677325011</v>
      </c>
      <c r="C60">
        <v>12554.74014396965</v>
      </c>
      <c r="D60">
        <v>4.0250143024064269E-4</v>
      </c>
      <c r="E60" s="9">
        <f>E59+2</f>
        <v>6</v>
      </c>
    </row>
    <row r="61" spans="1:5" x14ac:dyDescent="0.25">
      <c r="A61">
        <f t="shared" si="8"/>
        <v>11</v>
      </c>
      <c r="B61">
        <v>-571.8711128042064</v>
      </c>
      <c r="C61">
        <v>9303.3573895254176</v>
      </c>
      <c r="D61">
        <v>5.1055548868264393E-4</v>
      </c>
      <c r="E61" s="9">
        <f t="shared" ref="E61:E62" si="10">E60+2</f>
        <v>8</v>
      </c>
    </row>
    <row r="62" spans="1:5" x14ac:dyDescent="0.25">
      <c r="A62">
        <f t="shared" si="8"/>
        <v>12</v>
      </c>
      <c r="B62">
        <v>-725.93150429678076</v>
      </c>
      <c r="C62">
        <v>6986.1757989215102</v>
      </c>
      <c r="D62">
        <v>6.1860953520248097E-4</v>
      </c>
      <c r="E62" s="9">
        <f t="shared" si="10"/>
        <v>10</v>
      </c>
    </row>
    <row r="63" spans="1:5" x14ac:dyDescent="0.25">
      <c r="A63">
        <f t="shared" si="8"/>
        <v>13</v>
      </c>
      <c r="B63">
        <v>-1124.244063828336</v>
      </c>
      <c r="C63">
        <v>-1.8189894035458565E-12</v>
      </c>
      <c r="D63" t="s">
        <v>23</v>
      </c>
      <c r="E63" t="s">
        <v>47</v>
      </c>
    </row>
  </sheetData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21"/>
  <sheetViews>
    <sheetView showGridLines="0" showRowColHeaders="0" zoomScale="120" zoomScaleNormal="120" zoomScaleSheetLayoutView="120" workbookViewId="0"/>
  </sheetViews>
  <sheetFormatPr defaultColWidth="0" defaultRowHeight="15" zeroHeight="1" x14ac:dyDescent="0.25"/>
  <cols>
    <col min="1" max="1" width="10.42578125" style="15" customWidth="1"/>
    <col min="2" max="2" width="12.5703125" style="12" bestFit="1" customWidth="1"/>
    <col min="3" max="3" width="8.85546875" style="15" customWidth="1"/>
    <col min="4" max="4" width="11.140625" style="15" customWidth="1"/>
    <col min="5" max="5" width="9" style="15" customWidth="1"/>
    <col min="6" max="6" width="12.28515625" style="15" customWidth="1"/>
    <col min="7" max="15" width="8.85546875" style="15" customWidth="1"/>
    <col min="16" max="16" width="1.28515625" style="15" customWidth="1"/>
    <col min="17" max="16384" width="8.85546875" style="15" hidden="1"/>
  </cols>
  <sheetData>
    <row r="1" spans="1:6" ht="19.149999999999999" customHeight="1" x14ac:dyDescent="0.25">
      <c r="A1" s="26" t="s">
        <v>18</v>
      </c>
      <c r="B1" s="27" t="s">
        <v>49</v>
      </c>
      <c r="C1" s="27" t="s">
        <v>33</v>
      </c>
      <c r="D1" s="27" t="s">
        <v>34</v>
      </c>
      <c r="E1" s="27" t="s">
        <v>35</v>
      </c>
      <c r="F1" s="28" t="s">
        <v>39</v>
      </c>
    </row>
    <row r="2" spans="1:6" x14ac:dyDescent="0.25">
      <c r="A2" s="29">
        <v>1</v>
      </c>
      <c r="B2" s="30" t="s">
        <v>43</v>
      </c>
      <c r="C2" s="31">
        <v>4609.3417097100337</v>
      </c>
      <c r="D2" s="31">
        <v>1.8189894035458565E-12</v>
      </c>
      <c r="E2" s="32" t="s">
        <v>23</v>
      </c>
      <c r="F2" s="33">
        <f>D2/C2</f>
        <v>3.9463105972680995E-16</v>
      </c>
    </row>
    <row r="3" spans="1:6" ht="15" customHeight="1" x14ac:dyDescent="0.35">
      <c r="A3" s="34">
        <f>A2+1</f>
        <v>2</v>
      </c>
      <c r="B3" s="35" t="s">
        <v>63</v>
      </c>
      <c r="C3" s="36">
        <v>3598.021842966969</v>
      </c>
      <c r="D3" s="36">
        <v>14375.628696938007</v>
      </c>
      <c r="E3" s="37">
        <v>7.8339208613734641E-5</v>
      </c>
      <c r="F3" s="38">
        <f t="shared" ref="F3:F14" si="0">D3/C3</f>
        <v>3.9954256322923554</v>
      </c>
    </row>
    <row r="4" spans="1:6" ht="15" customHeight="1" x14ac:dyDescent="0.35">
      <c r="A4" s="29">
        <f t="shared" ref="A4:A14" si="1">A3+1</f>
        <v>3</v>
      </c>
      <c r="B4" s="30" t="s">
        <v>64</v>
      </c>
      <c r="C4" s="31">
        <v>3000.0077270929296</v>
      </c>
      <c r="D4" s="31">
        <v>19882.271716446528</v>
      </c>
      <c r="E4" s="32">
        <v>9.1845968649177022E-5</v>
      </c>
      <c r="F4" s="33">
        <f t="shared" si="0"/>
        <v>6.6274068352860098</v>
      </c>
    </row>
    <row r="5" spans="1:6" ht="15" customHeight="1" x14ac:dyDescent="0.35">
      <c r="A5" s="34">
        <f t="shared" si="1"/>
        <v>4</v>
      </c>
      <c r="B5" s="35" t="s">
        <v>65</v>
      </c>
      <c r="C5" s="36">
        <v>2491.9984853722153</v>
      </c>
      <c r="D5" s="36">
        <v>23039.385910821242</v>
      </c>
      <c r="E5" s="37">
        <v>1.0535272865110804E-4</v>
      </c>
      <c r="F5" s="38">
        <f t="shared" si="0"/>
        <v>9.2453450698546398</v>
      </c>
    </row>
    <row r="6" spans="1:6" ht="15" customHeight="1" x14ac:dyDescent="0.35">
      <c r="A6" s="29">
        <f t="shared" si="1"/>
        <v>5</v>
      </c>
      <c r="B6" s="30" t="s">
        <v>66</v>
      </c>
      <c r="C6" s="31">
        <v>2050.6128109620422</v>
      </c>
      <c r="D6" s="31">
        <v>24771.625494830816</v>
      </c>
      <c r="E6" s="32">
        <v>1.1885948861459953E-4</v>
      </c>
      <c r="F6" s="33">
        <f t="shared" si="0"/>
        <v>12.080108620412471</v>
      </c>
    </row>
    <row r="7" spans="1:6" ht="15" customHeight="1" x14ac:dyDescent="0.25">
      <c r="A7" s="34">
        <f t="shared" si="1"/>
        <v>6</v>
      </c>
      <c r="B7" s="35" t="s">
        <v>50</v>
      </c>
      <c r="C7" s="36">
        <v>1667.4733550932897</v>
      </c>
      <c r="D7" s="36">
        <v>25809.068598648792</v>
      </c>
      <c r="E7" s="37">
        <v>1.3236624853472332E-4</v>
      </c>
      <c r="F7" s="38">
        <f t="shared" si="0"/>
        <v>15.477949629488897</v>
      </c>
    </row>
    <row r="8" spans="1:6" ht="15" customHeight="1" x14ac:dyDescent="0.35">
      <c r="A8" s="29">
        <f t="shared" si="1"/>
        <v>7</v>
      </c>
      <c r="B8" s="30" t="s">
        <v>67</v>
      </c>
      <c r="C8" s="31">
        <v>769.5974894796575</v>
      </c>
      <c r="D8" s="31">
        <v>23718.44612516843</v>
      </c>
      <c r="E8" s="32">
        <v>1.8639328768297871E-4</v>
      </c>
      <c r="F8" s="33">
        <f t="shared" si="0"/>
        <v>30.819287289002222</v>
      </c>
    </row>
    <row r="9" spans="1:6" ht="15" customHeight="1" x14ac:dyDescent="0.35">
      <c r="A9" s="34">
        <f t="shared" si="1"/>
        <v>8</v>
      </c>
      <c r="B9" s="35" t="s">
        <v>68</v>
      </c>
      <c r="C9" s="36">
        <v>310.01364847426828</v>
      </c>
      <c r="D9" s="36">
        <v>20179.120025804055</v>
      </c>
      <c r="E9" s="37">
        <v>2.4042032574309955E-4</v>
      </c>
      <c r="F9" s="38">
        <f t="shared" si="0"/>
        <v>65.091069780687292</v>
      </c>
    </row>
    <row r="10" spans="1:6" ht="15" customHeight="1" x14ac:dyDescent="0.35">
      <c r="A10" s="29">
        <f t="shared" si="1"/>
        <v>9</v>
      </c>
      <c r="B10" s="30" t="s">
        <v>69</v>
      </c>
      <c r="C10" s="31">
        <v>-9.7288004580742609</v>
      </c>
      <c r="D10" s="31">
        <v>16953.705101934462</v>
      </c>
      <c r="E10" s="32">
        <v>2.9444736239968462E-4</v>
      </c>
      <c r="F10" s="33">
        <f t="shared" si="0"/>
        <v>-1742.630571466188</v>
      </c>
    </row>
    <row r="11" spans="1:6" ht="15" customHeight="1" x14ac:dyDescent="0.35">
      <c r="A11" s="34">
        <f t="shared" si="1"/>
        <v>10</v>
      </c>
      <c r="B11" s="35" t="s">
        <v>70</v>
      </c>
      <c r="C11" s="36">
        <v>-346.27589677325011</v>
      </c>
      <c r="D11" s="36">
        <v>12554.74014396965</v>
      </c>
      <c r="E11" s="37">
        <v>4.0250143024064269E-4</v>
      </c>
      <c r="F11" s="38">
        <f t="shared" si="0"/>
        <v>-36.25646561299876</v>
      </c>
    </row>
    <row r="12" spans="1:6" ht="15" customHeight="1" x14ac:dyDescent="0.35">
      <c r="A12" s="29">
        <f t="shared" si="1"/>
        <v>11</v>
      </c>
      <c r="B12" s="30" t="s">
        <v>71</v>
      </c>
      <c r="C12" s="31">
        <v>-571.8711128042064</v>
      </c>
      <c r="D12" s="31">
        <v>9303.3573895254176</v>
      </c>
      <c r="E12" s="32">
        <v>5.1055548868264393E-4</v>
      </c>
      <c r="F12" s="33">
        <f t="shared" si="0"/>
        <v>-16.268276507106318</v>
      </c>
    </row>
    <row r="13" spans="1:6" ht="15" customHeight="1" x14ac:dyDescent="0.35">
      <c r="A13" s="34">
        <f t="shared" si="1"/>
        <v>12</v>
      </c>
      <c r="B13" s="35" t="s">
        <v>72</v>
      </c>
      <c r="C13" s="36">
        <v>-725.93150429678076</v>
      </c>
      <c r="D13" s="36">
        <v>6986.1757989215102</v>
      </c>
      <c r="E13" s="37">
        <v>6.1860953520248097E-4</v>
      </c>
      <c r="F13" s="38">
        <f t="shared" si="0"/>
        <v>-9.6237396470196028</v>
      </c>
    </row>
    <row r="14" spans="1:6" x14ac:dyDescent="0.25">
      <c r="A14" s="29">
        <f t="shared" si="1"/>
        <v>13</v>
      </c>
      <c r="B14" s="30" t="s">
        <v>44</v>
      </c>
      <c r="C14" s="31">
        <v>-1124.244063828336</v>
      </c>
      <c r="D14" s="31">
        <v>-1.8189894035458565E-12</v>
      </c>
      <c r="E14" s="32" t="s">
        <v>23</v>
      </c>
      <c r="F14" s="33">
        <f t="shared" si="0"/>
        <v>1.6179666516109825E-15</v>
      </c>
    </row>
    <row r="15" spans="1:6" x14ac:dyDescent="0.25"/>
    <row r="16" spans="1:6" ht="15.75" x14ac:dyDescent="0.25">
      <c r="A16" s="43" t="s">
        <v>73</v>
      </c>
      <c r="B16" s="43"/>
      <c r="C16" s="43"/>
      <c r="D16" s="43"/>
      <c r="E16" s="39">
        <v>17051.844771201402</v>
      </c>
      <c r="F16" s="15" t="s">
        <v>41</v>
      </c>
    </row>
    <row r="17" x14ac:dyDescent="0.25"/>
    <row r="18" x14ac:dyDescent="0.25"/>
    <row r="19" x14ac:dyDescent="0.25"/>
    <row r="20" x14ac:dyDescent="0.25"/>
    <row r="21" ht="6.6" customHeight="1" x14ac:dyDescent="0.25"/>
  </sheetData>
  <sheetProtection sheet="1" objects="1" scenarios="1"/>
  <mergeCells count="1">
    <mergeCell ref="A16:D16"/>
  </mergeCells>
  <pageMargins left="0.7" right="0.7" top="0.75" bottom="0.75" header="0.3" footer="0.3"/>
  <pageSetup scale="37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UserInput</vt:lpstr>
      <vt:lpstr>Coordinates</vt:lpstr>
      <vt:lpstr>Calculations</vt:lpstr>
      <vt:lpstr>Results</vt:lpstr>
      <vt:lpstr>UserInput!Print_Area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Lucas Beattie</cp:lastModifiedBy>
  <cp:lastPrinted>2021-10-19T19:53:53Z</cp:lastPrinted>
  <dcterms:created xsi:type="dcterms:W3CDTF">2014-09-06T16:17:59Z</dcterms:created>
  <dcterms:modified xsi:type="dcterms:W3CDTF">2021-11-09T14:47:11Z</dcterms:modified>
</cp:coreProperties>
</file>